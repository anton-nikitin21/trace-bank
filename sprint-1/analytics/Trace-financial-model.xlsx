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d6a372ccf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дель" sheetId="1" r:id="R052db67513a0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(#,##0);&quot;–&quot;"/>
    <x:numFmt numFmtId="201" formatCode="0.00;(0.00);&quot;–&quot;"/>
    <x:numFmt numFmtId="202" formatCode="#,##0.00"/>
    <x:numFmt numFmtId="203" formatCode="0.0%"/>
    <x:numFmt numFmtId="204" formatCode="0.000;(0.000);&quot;–&quot;"/>
    <x:numFmt numFmtId="205" formatCode="  @"/>
  </x:numFmts>
  <x:fonts count="8">
    <x:font>
      <x:sz val="11"/>
      <x:name val="Carlito"/>
    </x:font>
    <x:font>
      <x:sz val="10"/>
      <x:color rgb="FF111827"/>
      <x:name val="Helvetica Neue"/>
    </x:font>
    <x:font>
      <x:b/>
      <x:sz val="16"/>
      <x:color rgb="FF111827"/>
      <x:name val="Helvetica Neue"/>
    </x:font>
    <x:font>
      <x:i/>
      <x:sz val="10"/>
      <x:color rgb="FF111827"/>
      <x:name val="Helvetica Neue"/>
    </x:font>
    <x:font>
      <x:b/>
      <x:sz val="10"/>
      <x:color rgb="FFFFFFFF"/>
      <x:name val="Helvetica Neue"/>
    </x:font>
    <x:font>
      <x:b/>
      <x:sz val="10"/>
      <x:color rgb="FF111827"/>
      <x:name val="Helvetica Neue"/>
    </x:font>
    <x:font>
      <x:sz val="10"/>
      <x:color rgb="FF5F6B65"/>
      <x:name val="Helvetica Neue"/>
    </x:font>
    <x:font>
      <x:sz val="10"/>
      <x:color rgb="FF2456A6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1C2429"/>
      </x:patternFill>
    </x:fill>
    <x:fill>
      <x:patternFill patternType="solid">
        <x:fgColor rgb="FFE5EAE3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7B799"/>
      </x:bottom>
      <x:diagonal/>
    </x:border>
    <x:border>
      <x:left/>
      <x:right/>
      <x:top style="thin">
        <x:color rgb="FFAAB5AB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7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7" fillId="4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073d1df6b4662" /><Relationship Type="http://schemas.openxmlformats.org/officeDocument/2006/relationships/theme" Target="/xl/theme/theme1.xml" Id="R6f00005bcff147c9" /><Relationship Type="http://schemas.openxmlformats.org/officeDocument/2006/relationships/sharedStrings" Target="/xl/sharedStrings.xml" Id="Rcffce1e1e4314921" /><Relationship Type="http://schemas.openxmlformats.org/officeDocument/2006/relationships/worksheet" Target="/xl/worksheets/sheet1.xml" Id="R052db67513a0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C2429"/>
  </x:sheetPr>
  <x:sheetViews>
    <x:sheetView showGridLines="0" workbookViewId="0"/>
  </x:sheetViews>
  <x:sheetFormatPr defaultRowHeight="15"/>
  <x:cols>
    <x:col min="1" max="1" width="2.6700000762939453" hidden="0" customWidth="1"/>
    <x:col min="2" max="2" width="48.33000183105469" hidden="0" customWidth="1"/>
    <x:col min="3" max="3" width="20" hidden="0" customWidth="1"/>
    <x:col min="4" max="4" width="17.780000686645508" hidden="0" customWidth="1"/>
    <x:col min="5" max="5" width="31.110000610351562" hidden="0" customWidth="1"/>
  </x:cols>
  <x:sheetData>
    <x:row r="1" ht="24" customHeight="1">
      <x:c r="B1" s="2"/>
      <x:c r="C1" s="2"/>
      <x:c r="D1" s="2"/>
      <x:c r="E1" s="2"/>
    </x:row>
    <x:row r="2" ht="24" customHeight="1">
      <x:c r="B2" s="3" t="str">
        <x:v>Trace. Финансовая модель</x:v>
      </x:c>
      <x:c r="C2" s="2"/>
      <x:c r="D2" s="2"/>
      <x:c r="E2" s="2"/>
    </x:row>
    <x:row r="3" ht="24" customHeight="1">
      <x:c r="B3" s="4"/>
      <x:c r="C3" s="4"/>
      <x:c r="D3" s="4"/>
      <x:c r="E3" s="4"/>
    </x:row>
    <x:row r="4" ht="24" customHeight="1">
      <x:c r="B4" s="5" t="str">
        <x:v>Сценарная оценка будущего внедрения. Параметры не измерены в банке.</x:v>
      </x:c>
      <x:c r="C4" s="2"/>
      <x:c r="D4" s="2"/>
      <x:c r="E4" s="2"/>
    </x:row>
    <x:row r="5" ht="24" customHeight="1">
      <x:c r="B5" s="2"/>
      <x:c r="C5" s="2"/>
      <x:c r="D5" s="2"/>
      <x:c r="E5" s="2"/>
    </x:row>
    <x:row r="6" ht="30" customHeight="1">
      <x:c r="B6" s="7" t="str">
        <x:v>Годовой поток и результаты</x:v>
      </x:c>
      <x:c r="C6" s="8" t="str">
        <x:v>30 тыс. обращений</x:v>
      </x:c>
      <x:c r="D6" s="8" t="str">
        <x:v>60 тыс. обращений</x:v>
      </x:c>
      <x:c r="E6" s="8" t="str">
        <x:v>120 тыс. обращений</x:v>
      </x:c>
    </x:row>
    <x:row r="7" ht="24" customHeight="1">
      <x:c r="B7" s="2" t="str">
        <x:v>Исходные обращения, шт./год</x:v>
      </x:c>
      <x:c r="C7" s="18" t="n">
        <x:v>30000</x:v>
      </x:c>
      <x:c r="D7" s="18" t="n">
        <x:v>60000</x:v>
      </x:c>
      <x:c r="E7" s="18" t="n">
        <x:v>120000</x:v>
      </x:c>
    </x:row>
    <x:row r="8" ht="24" customHeight="1">
      <x:c r="B8" s="2" t="str">
        <x:v>Подходящие обращения, шт./год</x:v>
      </x:c>
      <x:c r="C8" s="19" t="n">
        <x:f>IF(COUNT(C7,$C$25)&lt;2,"н.д.",C7*$C$25)</x:f>
        <x:v>18000</x:v>
      </x:c>
      <x:c r="D8" s="19" t="n">
        <x:f>IF(COUNT(D7,$C$25)&lt;2,"н.д.",D7*$C$25)</x:f>
        <x:v>36000</x:v>
      </x:c>
      <x:c r="E8" s="19" t="n">
        <x:f>IF(COUNT(E7,$C$25)&lt;2,"н.д.",E7*$C$25)</x:f>
        <x:v>72000</x:v>
      </x:c>
    </x:row>
    <x:row r="9" ht="24" customHeight="1">
      <x:c r="B9" s="2" t="str">
        <x:v>Обращения с Trace, шт./год</x:v>
      </x:c>
      <x:c r="C9" s="19" t="n">
        <x:f>IF(COUNT(C8,$C$26)&lt;2,"н.д.",C8*$C$26)</x:f>
        <x:v>12600</x:v>
      </x:c>
      <x:c r="D9" s="19" t="n">
        <x:f>IF(COUNT(D8,$C$26)&lt;2,"н.д.",D8*$C$26)</x:f>
        <x:v>25200</x:v>
      </x:c>
      <x:c r="E9" s="19" t="n">
        <x:f>IF(COUNT(E8,$C$26)&lt;2,"н.д.",E8*$C$26)</x:f>
        <x:v>50400</x:v>
      </x:c>
    </x:row>
    <x:row r="10" ht="24" customHeight="1">
      <x:c r="B10" s="2" t="str">
        <x:v>Высвобождённое время, ч/год</x:v>
      </x:c>
      <x:c r="C10" s="19" t="n">
        <x:f>IF(COUNT(C9,$C$27)&lt;2,"н.д.",C9*$C$27/60)</x:f>
        <x:v>1260</x:v>
      </x:c>
      <x:c r="D10" s="19" t="n">
        <x:f>IF(COUNT(D9,$C$27)&lt;2,"н.д.",D9*$C$27/60)</x:f>
        <x:v>2520</x:v>
      </x:c>
      <x:c r="E10" s="19" t="n">
        <x:f>IF(COUNT(E9,$C$27)&lt;2,"н.д.",E9*$C$27/60)</x:f>
        <x:v>5040</x:v>
      </x:c>
    </x:row>
    <x:row r="11" ht="24" customHeight="1">
      <x:c r="B11" s="2" t="str">
        <x:v>Стоимость высвобождённого времени, ₽/год</x:v>
      </x:c>
      <x:c r="C11" s="19" t="n">
        <x:f>IF(COUNT(C10,$C$28)&lt;2,"н.д.",C10*$C$28)</x:f>
        <x:v>1134000</x:v>
      </x:c>
      <x:c r="D11" s="19" t="n">
        <x:f>IF(COUNT(D10,$C$28)&lt;2,"н.д.",D10*$C$28)</x:f>
        <x:v>2268000</x:v>
      </x:c>
      <x:c r="E11" s="19" t="n">
        <x:f>IF(COUNT(E10,$C$28)&lt;2,"н.д.",E10*$C$28)</x:f>
        <x:v>4536000</x:v>
      </x:c>
    </x:row>
    <x:row r="12" ht="24" customHeight="1">
      <x:c r="B12" s="2" t="str">
        <x:v>Реализуемый эффект, ₽/год</x:v>
      </x:c>
      <x:c r="C12" s="19" t="n">
        <x:f>IF(COUNT(C11,$C$29)&lt;2,"н.д.",C11*$C$29)</x:f>
        <x:v>567000</x:v>
      </x:c>
      <x:c r="D12" s="19" t="n">
        <x:f>IF(COUNT(D11,$C$29)&lt;2,"н.д.",D11*$C$29)</x:f>
        <x:v>1134000</x:v>
      </x:c>
      <x:c r="E12" s="19" t="n">
        <x:f>IF(COUNT(E11,$C$29)&lt;2,"н.д.",E11*$C$29)</x:f>
        <x:v>2268000</x:v>
      </x:c>
    </x:row>
    <x:row r="13" ht="24" customHeight="1">
      <x:c r="B13" s="2" t="str">
        <x:v>Эксплуатационные расходы, ₽/год</x:v>
      </x:c>
      <x:c r="C13" s="19" t="n">
        <x:f>IF(ISNUMBER($C$33),$C$33,"н.д.")</x:f>
        <x:v>1200000</x:v>
      </x:c>
      <x:c r="D13" s="19" t="n">
        <x:f>IF(ISNUMBER($C$33),$C$33,"н.д.")</x:f>
        <x:v>1200000</x:v>
      </x:c>
      <x:c r="E13" s="19" t="n">
        <x:f>IF(ISNUMBER($C$33),$C$33,"н.д.")</x:f>
        <x:v>1200000</x:v>
      </x:c>
    </x:row>
    <x:row r="14" ht="24" customHeight="1">
      <x:c r="B14" s="27" t="str">
        <x:v>Чистый эффект после эксплуатации, ₽/год</x:v>
      </x:c>
      <x:c r="C14" s="28" t="n">
        <x:f>IF(COUNT(C12:C13)&lt;2,"н.д.",C12-C13)</x:f>
        <x:v>-633000</x:v>
      </x:c>
      <x:c r="D14" s="28" t="n">
        <x:f>IF(COUNT(D12:D13)&lt;2,"н.д.",D12-D13)</x:f>
        <x:v>-66000</x:v>
      </x:c>
      <x:c r="E14" s="28" t="n">
        <x:f>IF(COUNT(E12:E13)&lt;2,"н.д.",E12-E13)</x:f>
        <x:v>1068000</x:v>
      </x:c>
    </x:row>
    <x:row r="15" ht="24" customHeight="1">
      <x:c r="B15" s="2" t="str">
        <x:v>Простая окупаемость, лет</x:v>
      </x:c>
      <x:c r="C15" s="20" t="str">
        <x:f>IF(COUNT(C14,$C$34)&lt;2,"н.д.",IF(C14&lt;=0,"нет",$C$34/C14))</x:f>
        <x:v>нет</x:v>
      </x:c>
      <x:c r="D15" s="20" t="str">
        <x:f>IF(COUNT(D14,$C$34)&lt;2,"н.д.",IF(D14&lt;=0,"нет",$C$34/D14))</x:f>
        <x:v>нет</x:v>
      </x:c>
      <x:c r="E15" s="20" t="n">
        <x:f>IF(COUNT(E14,$C$34)&lt;2,"н.д.",IF(E14&lt;=0,"нет",$C$34/E14))</x:f>
        <x:v>2.247191011235955</x:v>
      </x:c>
    </x:row>
    <x:row r="16" ht="24" customHeight="1">
      <x:c r="B16" s="2" t="str">
        <x:v>Простая окупаемость, месяцев</x:v>
      </x:c>
      <x:c r="C16" s="20" t="str">
        <x:f>IF(ISNUMBER(C15),C15*12,C15)</x:f>
        <x:v>нет</x:v>
      </x:c>
      <x:c r="D16" s="20" t="str">
        <x:f>IF(ISNUMBER(D15),D15*12,D15)</x:f>
        <x:v>нет</x:v>
      </x:c>
      <x:c r="E16" s="20" t="n">
        <x:f>IF(ISNUMBER(E15),E15*12,E15)</x:f>
        <x:v>26.966292134831463</x:v>
      </x:c>
    </x:row>
    <x:row r="17" ht="24" customHeight="1">
      <x:c r="B17" s="2" t="str">
        <x:v>Разработка и внедрение, ₽</x:v>
      </x:c>
      <x:c r="C17" s="19" t="n">
        <x:f>IF(ISNUMBER($C$34),$C$34,"н.д.")</x:f>
        <x:v>2400000</x:v>
      </x:c>
      <x:c r="D17" s="19" t="n">
        <x:f>IF(ISNUMBER($C$34),$C$34,"н.д.")</x:f>
        <x:v>2400000</x:v>
      </x:c>
      <x:c r="E17" s="19" t="n">
        <x:f>IF(ISNUMBER($C$34),$C$34,"н.д.")</x:f>
        <x:v>2400000</x:v>
      </x:c>
    </x:row>
    <x:row r="18" ht="24" customHeight="1">
      <x:c r="B18" s="2"/>
      <x:c r="C18" s="17"/>
      <x:c r="D18" s="17"/>
      <x:c r="E18" s="17"/>
    </x:row>
    <x:row r="19" ht="24" customHeight="1">
      <x:c r="B19" s="9" t="str">
        <x:v>Поток для покрытия эксплуатации, обращений/год</x:v>
      </x:c>
      <x:c r="C19" s="29" t="n">
        <x:f>IF(COUNT(C33,C38)&lt;2,"н.д.",IF(C38&lt;=0,"нет",C33/C38))</x:f>
        <x:v>63492.063492063484</x:v>
      </x:c>
      <x:c r="D19" s="17"/>
      <x:c r="E19" s="17"/>
    </x:row>
    <x:row r="20" ht="24" customHeight="1">
      <x:c r="B20" s="5" t="str">
        <x:v>Порог не включает возврат разовых затрат на разработку и внедрение.</x:v>
      </x:c>
      <x:c r="C20" s="2"/>
      <x:c r="D20" s="2"/>
      <x:c r="E20" s="2"/>
    </x:row>
    <x:row r="21" ht="24" customHeight="1">
      <x:c r="B21" s="2"/>
      <x:c r="C21" s="2"/>
      <x:c r="D21" s="2"/>
      <x:c r="E21" s="2"/>
    </x:row>
    <x:row r="22" ht="24" customHeight="1">
      <x:c r="B22" s="9" t="str">
        <x:v>Изменяемые допущения</x:v>
      </x:c>
      <x:c r="C22" s="2"/>
      <x:c r="D22" s="2"/>
      <x:c r="E22" s="2"/>
    </x:row>
    <x:row r="23" ht="27" customHeight="1">
      <x:c r="B23" s="11" t="str">
        <x:v>Параметр</x:v>
      </x:c>
      <x:c r="C23" s="12" t="str">
        <x:v>Значение</x:v>
      </x:c>
      <x:c r="D23" s="12" t="str">
        <x:v>Единица</x:v>
      </x:c>
      <x:c r="E23" s="12" t="str">
        <x:v>Пояснение</x:v>
      </x:c>
    </x:row>
    <x:row r="24" ht="24" customHeight="1">
      <x:c r="B24" s="5" t="str">
        <x:v>Источник всех вводов: команда Trace, сценарная оценка на 17.10.2026.</x:v>
      </x:c>
      <x:c r="C24" s="2"/>
      <x:c r="D24" s="2"/>
      <x:c r="E24" s="2"/>
    </x:row>
    <x:row r="25" ht="24" customHeight="1">
      <x:c r="B25" s="2" t="str">
        <x:v>Применимость к исходному потоку</x:v>
      </x:c>
      <x:c r="C25" s="22" t="n">
        <x:v>0.6</x:v>
      </x:c>
      <x:c r="D25" s="25" t="str">
        <x:v>доля</x:v>
      </x:c>
      <x:c r="E25" s="2" t="str">
        <x:v>Подходит выбранный профиль</x:v>
      </x:c>
    </x:row>
    <x:row r="26" ht="24" customHeight="1">
      <x:c r="B26" s="2" t="str">
        <x:v>Использование среди подходящих</x:v>
      </x:c>
      <x:c r="C26" s="22" t="n">
        <x:v>0.7</x:v>
      </x:c>
      <x:c r="D26" s="25" t="str">
        <x:v>доля</x:v>
      </x:c>
      <x:c r="E26" s="2" t="str">
        <x:v>Фактическое принятие Trace</x:v>
      </x:c>
    </x:row>
    <x:row r="27" ht="24" customHeight="1">
      <x:c r="B27" s="2" t="str">
        <x:v>Средняя экономия на обращение</x:v>
      </x:c>
      <x:c r="C27" s="18" t="n">
        <x:v>6</x:v>
      </x:c>
      <x:c r="D27" s="25" t="str">
        <x:v>минут</x:v>
      </x:c>
      <x:c r="E27" s="2" t="str">
        <x:v>С учётом проверки сотрудником</x:v>
      </x:c>
    </x:row>
    <x:row r="28" ht="24" customHeight="1">
      <x:c r="B28" s="2" t="str">
        <x:v>Полная стоимость рабочего часа</x:v>
      </x:c>
      <x:c r="C28" s="18" t="n">
        <x:v>900</x:v>
      </x:c>
      <x:c r="D28" s="25" t="str">
        <x:v>₽/ч</x:v>
      </x:c>
      <x:c r="E28" s="2" t="str">
        <x:v>Предварительная оценка</x:v>
      </x:c>
    </x:row>
    <x:row r="29" ht="24" customHeight="1">
      <x:c r="B29" s="2" t="str">
        <x:v>Реализуемая доля стоимости времени</x:v>
      </x:c>
      <x:c r="C29" s="22" t="n">
        <x:v>0.5</x:v>
      </x:c>
      <x:c r="D29" s="25" t="str">
        <x:v>доля</x:v>
      </x:c>
      <x:c r="E29" s="2" t="str">
        <x:v>Требует подтверждения банком</x:v>
      </x:c>
    </x:row>
    <x:row r="30" ht="24" customHeight="1">
      <x:c r="B30" s="2" t="str"/>
      <x:c r="C30" s="17"/>
      <x:c r="D30" s="25" t="str"/>
      <x:c r="E30" s="2" t="str"/>
    </x:row>
    <x:row r="31" ht="24" customHeight="1">
      <x:c r="B31" s="2" t="str">
        <x:v>Разработка</x:v>
      </x:c>
      <x:c r="C31" s="18" t="n">
        <x:v>1800000</x:v>
      </x:c>
      <x:c r="D31" s="25" t="str">
        <x:v>₽ разово</x:v>
      </x:c>
      <x:c r="E31" s="2" t="str">
        <x:v>Будущая оценка затрат</x:v>
      </x:c>
    </x:row>
    <x:row r="32" ht="24" customHeight="1">
      <x:c r="B32" s="2" t="str">
        <x:v>Интеграция</x:v>
      </x:c>
      <x:c r="C32" s="18" t="n">
        <x:v>600000</x:v>
      </x:c>
      <x:c r="D32" s="25" t="str">
        <x:v>₽ разово</x:v>
      </x:c>
      <x:c r="E32" s="2" t="str">
        <x:v>Будущая оценка затрат</x:v>
      </x:c>
    </x:row>
    <x:row r="33" ht="24" customHeight="1">
      <x:c r="B33" s="2" t="str">
        <x:v>Эксплуатация</x:v>
      </x:c>
      <x:c r="C33" s="18" t="n">
        <x:v>1200000</x:v>
      </x:c>
      <x:c r="D33" s="25" t="str">
        <x:v>₽/год</x:v>
      </x:c>
      <x:c r="E33" s="2" t="str">
        <x:v>Будущая оценка затрат</x:v>
      </x:c>
    </x:row>
    <x:row r="34" ht="24" customHeight="1">
      <x:c r="B34" s="2" t="str">
        <x:v>Разработка и внедрение, всего</x:v>
      </x:c>
      <x:c r="C34" s="19" t="n">
        <x:f>IF(COUNT(C31:C32)&lt;2,"н.д.",SUM(C31:C32))</x:f>
        <x:v>2400000</x:v>
      </x:c>
      <x:c r="D34" s="25" t="str">
        <x:v>₽ разово</x:v>
      </x:c>
      <x:c r="E34" s="2"/>
    </x:row>
    <x:row r="35" ht="24" customHeight="1">
      <x:c r="B35" s="2"/>
      <x:c r="C35" s="17"/>
      <x:c r="D35" s="25"/>
      <x:c r="E35" s="2"/>
    </x:row>
    <x:row r="36" ht="24" customHeight="1">
      <x:c r="B36" s="2" t="str">
        <x:v>Доля исходного потока с Trace</x:v>
      </x:c>
      <x:c r="C36" s="23" t="n">
        <x:f>IF(COUNT(C25:C26)&lt;2,"н.д.",C25*C26)</x:f>
        <x:v>0.42</x:v>
      </x:c>
      <x:c r="D36" s="25" t="str">
        <x:v>доля</x:v>
      </x:c>
      <x:c r="E36" s="2"/>
    </x:row>
    <x:row r="37" ht="24" customHeight="1">
      <x:c r="B37" s="2" t="str">
        <x:v>Экономия на исходное обращение</x:v>
      </x:c>
      <x:c r="C37" s="24" t="n">
        <x:f>IF(COUNT(C36,C27)&lt;2,"н.д.",C36*C27/60)</x:f>
        <x:v>0.042</x:v>
      </x:c>
      <x:c r="D37" s="25" t="str">
        <x:v>ч/обращение</x:v>
      </x:c>
      <x:c r="E37" s="2"/>
    </x:row>
    <x:row r="38" ht="24" customHeight="1">
      <x:c r="B38" s="2" t="str">
        <x:v>Реализуемый эффект на исходное обращение</x:v>
      </x:c>
      <x:c r="C38" s="20" t="n">
        <x:f>IF(COUNT(C37,C28:C29)&lt;3,"н.д.",C37*C28*C29)</x:f>
        <x:v>18.900000000000002</x:v>
      </x:c>
      <x:c r="D38" s="25" t="str">
        <x:v>₽/обращение</x:v>
      </x:c>
      <x:c r="E38" s="2"/>
    </x:row>
    <x:row r="39" ht="24" customHeight="1">
      <x:c r="B39" s="2"/>
      <x:c r="C39" s="2"/>
      <x:c r="D39" s="2"/>
      <x:c r="E39" s="2"/>
    </x:row>
    <x:row r="40" ht="24" customHeight="1">
      <x:c r="B40" s="13" t="str">
        <x:v>Окупаемость: разовые затраты / положительный годовой чистый эффект.</x:v>
      </x:c>
      <x:c r="C40" s="2"/>
      <x:c r="D40" s="2"/>
      <x:c r="E40" s="2"/>
    </x:row>
    <x:row r="41" ht="24" customHeight="1">
      <x:c r="B41" s="13" t="str">
        <x:v>Расчёт после выхода на стабильный режим, без разгона и дисконтирования.</x:v>
      </x:c>
      <x:c r="C41" s="2"/>
      <x:c r="D41" s="2"/>
      <x:c r="E41" s="2"/>
    </x:row>
    <x:row r="42" ht="24" customHeight="1">
      <x:c r="B42" s="13" t="str">
        <x:v>Для денег используется средняя экономия; для продуктовой метрики — медиана.</x:v>
      </x:c>
      <x:c r="C42" s="2"/>
      <x:c r="D42" s="2"/>
      <x:c r="E42" s="2"/>
    </x:row>
    <x:row r="43" ht="24" customHeight="1">
      <x:c r="B43" s="13" t="str">
        <x:v>«н.д.» означает отсутствующий ввод. «нет» означает отсутствие окупаемости.</x:v>
      </x:c>
      <x:c r="C43" s="2"/>
      <x:c r="D43" s="2"/>
      <x:c r="E43" s="2"/>
    </x:row>
    <x:row r="44" ht="24" customHeight="1">
      <x:c r="B44" s="13" t="str">
        <x:v>Изменяйте синие ячейки с жёлтой заливкой. Чёрные значения вычисляются формулами.</x:v>
      </x:c>
      <x:c r="C44" s="2"/>
      <x:c r="D44" s="2"/>
      <x:c r="E44" s="2"/>
    </x:row>
    <x:row r="45" ht="24" customHeight="1">
      <x:c r="B45" s="13" t="str">
        <x:v>Масштаб — обращения одного процесса. Число всех МСП не является оценкой рынка Trace.</x:v>
      </x:c>
      <x:c r="C45" s="2"/>
      <x:c r="D45" s="2"/>
      <x:c r="E45" s="2"/>
    </x:row>
    <x:row r="46" ht="24" customHeight="1">
      <x:c r="B46" s="13" t="str">
        <x:v>Материалы команды: https://github.com/Asteroid-Destroyer777/osnovanie-super-bobry</x:v>
      </x:c>
      <x:c r="C46" s="2"/>
      <x:c r="D46" s="2"/>
      <x:c r="E46" s="2"/>
    </x:row>
    <x:row r="47" ht="24" customHeight="1">
      <x:c r="B47" s="2"/>
      <x:c r="C47" s="2"/>
      <x:c r="D47" s="2"/>
      <x:c r="E47" s="2"/>
    </x:row>
  </x:sheetData>
  <x:conditionalFormatting sqref="C14:E14">
    <x:cfRule type="cellIs" dxfId="0" priority="1" operator="lessThan">
      <x:formula>0</x:formula>
    </x:cfRule>
  </x:conditionalFormatting>
  <x:dataValidations count="5">
    <x:dataValidation type="decimal" operator="between" sqref="C25:C26">
      <x:formula1>0</x:formula1>
      <x:formula2>1</x:formula2>
    </x:dataValidation>
    <x:dataValidation type="decimal" operator="between" sqref="C29">
      <x:formula1>0</x:formula1>
      <x:formula2>1</x:formula2>
    </x:dataValidation>
    <x:dataValidation type="decimal" operator="greaterThanOrEqual" sqref="C7:E7">
      <x:formula1>0</x:formula1>
    </x:dataValidation>
    <x:dataValidation type="decimal" operator="greaterThanOrEqual" sqref="C27:C28">
      <x:formula1>0</x:formula1>
    </x:dataValidation>
    <x:dataValidation type="decimal" operator="greaterThanOrEqual" sqref="C31:C33">
      <x:formula1>0</x:formula1>
    </x:dataValidation>
  </x:dataValidations>
  <x:pageMargins left="0.7" right="0.7" top="0.75" bottom="0.75" header="0.3" footer="0.3"/>
</x:worksheet>
</file>