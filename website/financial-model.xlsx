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8e199942f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кономика" sheetId="1" r:id="R9977a6805a0041c2"/>
    <x:sheet xmlns:r="http://schemas.openxmlformats.org/officeDocument/2006/relationships" name="Охват" sheetId="2" r:id="Rc37dd50d15ff4f85"/>
    <x:sheet xmlns:r="http://schemas.openxmlformats.org/officeDocument/2006/relationships" name="Пилот" sheetId="3" r:id="R0af30927671743ee"/>
    <x:sheet xmlns:r="http://schemas.openxmlformats.org/officeDocument/2006/relationships" name="Источники" sheetId="4" r:id="R85dcae11f1f3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#,##0.00;[Red](#,##0.00);-"/>
  </x:numFmts>
  <x:fonts count="8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64FC4"/>
      </x:patternFill>
    </x:fill>
    <x:fill>
      <x:patternFill patternType="solid">
        <x:fgColor rgb="FFEFF5FF"/>
      </x:patternFill>
    </x:fill>
    <x:fill>
      <x:patternFill patternType="solid">
        <x:fgColor rgb="FFFFF4D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202" fontId="1" fillId="0" borderId="0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da5ea594c4275" /><Relationship Type="http://schemas.openxmlformats.org/officeDocument/2006/relationships/theme" Target="/xl/theme/theme1.xml" Id="R004e58654d87494b" /><Relationship Type="http://schemas.openxmlformats.org/officeDocument/2006/relationships/sharedStrings" Target="/xl/sharedStrings.xml" Id="R235164d34575406e" /><Relationship Type="http://schemas.openxmlformats.org/officeDocument/2006/relationships/worksheet" Target="/xl/worksheets/sheet1.xml" Id="R9977a6805a0041c2" /><Relationship Type="http://schemas.openxmlformats.org/officeDocument/2006/relationships/worksheet" Target="/xl/worksheets/sheet2.xml" Id="Rc37dd50d15ff4f85" /><Relationship Type="http://schemas.openxmlformats.org/officeDocument/2006/relationships/worksheet" Target="/xl/worksheets/sheet3.xml" Id="R0af30927671743ee" /><Relationship Type="http://schemas.openxmlformats.org/officeDocument/2006/relationships/worksheet" Target="/xl/worksheets/sheet4.xml" Id="R85dcae11f1f34e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1" hidden="0" customWidth="1"/>
    <x:col min="3" max="3" width="24" hidden="0" customWidth="1"/>
    <x:col min="4" max="4" width="88" hidden="0" customWidth="1"/>
  </x:cols>
  <x:sheetData>
    <x:row r="1" ht="25" customHeight="1">
      <x:c r="A1" s="16"/>
      <x:c r="B1" s="16"/>
      <x:c r="C1" s="16"/>
      <x:c r="D1" s="16"/>
      <x:c r="E1" s="1"/>
      <x:c r="F1" s="1"/>
      <x:c r="G1" s="1"/>
      <x:c r="H1" s="1"/>
    </x:row>
    <x:row r="2" ht="25" customHeight="1">
      <x:c r="A2" s="17" t="str">
        <x:v>Trace: экономика внедрения</x:v>
      </x:c>
      <x:c r="B2" s="16"/>
      <x:c r="C2" s="16"/>
      <x:c r="D2" s="16"/>
      <x:c r="E2" s="1"/>
      <x:c r="F2" s="1"/>
      <x:c r="G2" s="1"/>
      <x:c r="H2" s="1"/>
    </x:row>
    <x:row r="3" ht="25" customHeight="1">
      <x:c r="A3" s="16" t="str">
        <x:v>Сценарные значения из MVP. Это не бюджет, статистика или обещание эффекта ВТБ.</x:v>
      </x:c>
      <x:c r="B3" s="16"/>
      <x:c r="C3" s="16"/>
      <x:c r="D3" s="16"/>
      <x:c r="E3" s="1"/>
      <x:c r="F3" s="1"/>
      <x:c r="G3" s="1"/>
      <x:c r="H3" s="1"/>
    </x:row>
    <x:row r="4" ht="25" customHeight="1">
      <x:c r="A4" s="16"/>
      <x:c r="B4" s="16"/>
      <x:c r="C4" s="16"/>
      <x:c r="D4" s="16"/>
      <x:c r="E4" s="1"/>
      <x:c r="F4" s="1"/>
      <x:c r="G4" s="1"/>
      <x:c r="H4" s="1"/>
    </x:row>
    <x:row r="5" ht="25" customHeight="1">
      <x:c r="A5" s="18" t="str">
        <x:v>Допущение</x:v>
      </x:c>
      <x:c r="B5" s="18" t="str">
        <x:v>Значение</x:v>
      </x:c>
      <x:c r="C5" s="18" t="str">
        <x:v>Единица</x:v>
      </x:c>
      <x:c r="D5" s="18" t="str">
        <x:v>Что должно заменить допущение</x:v>
      </x:c>
      <x:c r="E5" s="1"/>
      <x:c r="F5" s="1"/>
      <x:c r="G5" s="1"/>
      <x:c r="H5" s="1"/>
    </x:row>
    <x:row r="6" ht="25" customHeight="1">
      <x:c r="A6" s="16" t="str">
        <x:v>Обращения процесса за год</x:v>
      </x:c>
      <x:c r="B6" s="19" t="n">
        <x:v>60000</x:v>
      </x:c>
      <x:c r="C6" s="16" t="str">
        <x:v>обращений</x:v>
      </x:c>
      <x:c r="D6" s="16" t="str">
        <x:v>Агрегат владельца процесса</x:v>
      </x:c>
      <x:c r="E6" s="1"/>
      <x:c r="F6" s="1"/>
      <x:c r="G6" s="1"/>
      <x:c r="H6" s="1"/>
    </x:row>
    <x:row r="7" ht="25" customHeight="1">
      <x:c r="A7" s="16" t="str">
        <x:v>Подходят профилю проверки</x:v>
      </x:c>
      <x:c r="B7" s="20" t="n">
        <x:v>0.6</x:v>
      </x:c>
      <x:c r="C7" s="16" t="str">
        <x:v>доля</x:v>
      </x:c>
      <x:c r="D7" s="16" t="str">
        <x:v>Разметка исторических обращений</x:v>
      </x:c>
      <x:c r="E7" s="1"/>
      <x:c r="F7" s="1"/>
      <x:c r="G7" s="1"/>
      <x:c r="H7" s="1"/>
    </x:row>
    <x:row r="8" ht="25" customHeight="1">
      <x:c r="A8" s="16" t="str">
        <x:v>Реально проходят через Trace</x:v>
      </x:c>
      <x:c r="B8" s="20" t="n">
        <x:v>0.7</x:v>
      </x:c>
      <x:c r="C8" s="16" t="str">
        <x:v>доля</x:v>
      </x:c>
      <x:c r="D8" s="16" t="str">
        <x:v>Телеметрия среди подходящих обращений</x:v>
      </x:c>
      <x:c r="E8" s="1"/>
      <x:c r="F8" s="1"/>
      <x:c r="G8" s="1"/>
      <x:c r="H8" s="1"/>
    </x:row>
    <x:row r="9" ht="25" customHeight="1">
      <x:c r="A9" s="16" t="str">
        <x:v>Средняя экономия активного труда</x:v>
      </x:c>
      <x:c r="B9" s="19" t="n">
        <x:v>6</x:v>
      </x:c>
      <x:c r="C9" s="16" t="str">
        <x:v>мин/обращение</x:v>
      </x:c>
      <x:c r="D9" s="16" t="str">
        <x:v>Парный эксперимент, включая исправления</x:v>
      </x:c>
      <x:c r="E9" s="1"/>
      <x:c r="F9" s="1"/>
      <x:c r="G9" s="1"/>
      <x:c r="H9" s="1"/>
    </x:row>
    <x:row r="10" ht="25" customHeight="1">
      <x:c r="A10" s="16" t="str">
        <x:v>Полная стоимость рабочего часа</x:v>
      </x:c>
      <x:c r="B10" s="19" t="n">
        <x:v>900</x:v>
      </x:c>
      <x:c r="C10" s="16" t="str">
        <x:v>₽/час</x:v>
      </x:c>
      <x:c r="D10" s="16" t="str">
        <x:v>Данные банка с начислениями</x:v>
      </x:c>
      <x:c r="E10" s="1"/>
      <x:c r="F10" s="1"/>
      <x:c r="G10" s="1"/>
      <x:c r="H10" s="1"/>
    </x:row>
    <x:row r="11" ht="25" customHeight="1">
      <x:c r="A11" s="16" t="str">
        <x:v>Доля реализации стоимости времени</x:v>
      </x:c>
      <x:c r="B11" s="20" t="n">
        <x:v>0.5</x:v>
      </x:c>
      <x:c r="C11" s="16" t="str">
        <x:v>доля</x:v>
      </x:c>
      <x:c r="D11" s="16" t="str">
        <x:v>Согласованный способ реализации эффекта</x:v>
      </x:c>
      <x:c r="E11" s="1"/>
      <x:c r="F11" s="1"/>
      <x:c r="G11" s="1"/>
      <x:c r="H11" s="1"/>
    </x:row>
    <x:row r="12" ht="25" customHeight="1">
      <x:c r="A12" s="16" t="str">
        <x:v>Разработка</x:v>
      </x:c>
      <x:c r="B12" s="19" t="n">
        <x:v>1800000</x:v>
      </x:c>
      <x:c r="C12" s="16" t="str">
        <x:v>₽ разово</x:v>
      </x:c>
      <x:c r="D12" s="16" t="str">
        <x:v>Смета работ, не коммерческое предложение</x:v>
      </x:c>
      <x:c r="E12" s="1"/>
      <x:c r="F12" s="1"/>
      <x:c r="G12" s="1"/>
      <x:c r="H12" s="1"/>
    </x:row>
    <x:row r="13" ht="25" customHeight="1">
      <x:c r="A13" s="16" t="str">
        <x:v>Интеграция</x:v>
      </x:c>
      <x:c r="B13" s="19" t="n">
        <x:v>600000</x:v>
      </x:c>
      <x:c r="C13" s="16" t="str">
        <x:v>₽ разово</x:v>
      </x:c>
      <x:c r="D13" s="16" t="str">
        <x:v>Смета интеграции с контуром банка</x:v>
      </x:c>
      <x:c r="E13" s="1"/>
      <x:c r="F13" s="1"/>
      <x:c r="G13" s="1"/>
      <x:c r="H13" s="1"/>
    </x:row>
    <x:row r="14" ht="25" customHeight="1">
      <x:c r="A14" s="16" t="str">
        <x:v>Эксплуатация в год</x:v>
      </x:c>
      <x:c r="B14" s="19" t="n">
        <x:v>1200000</x:v>
      </x:c>
      <x:c r="C14" s="16" t="str">
        <x:v>₽/год</x:v>
      </x:c>
      <x:c r="D14" s="16" t="str">
        <x:v>Инфраструктура, сопровождение, правила, ИБ</x:v>
      </x:c>
      <x:c r="E14" s="1"/>
      <x:c r="F14" s="1"/>
      <x:c r="G14" s="1"/>
      <x:c r="H14" s="1"/>
    </x:row>
    <x:row r="15" ht="25" customHeight="1">
      <x:c r="A15" s="16"/>
      <x:c r="B15" s="16"/>
      <x:c r="C15" s="16"/>
      <x:c r="D15" s="16"/>
      <x:c r="E15" s="1"/>
      <x:c r="F15" s="1"/>
      <x:c r="G15" s="1"/>
      <x:c r="H15" s="1"/>
    </x:row>
    <x:row r="16" ht="25" customHeight="1">
      <x:c r="A16" s="16"/>
      <x:c r="B16" s="16"/>
      <x:c r="C16" s="16"/>
      <x:c r="D16" s="16"/>
      <x:c r="E16" s="1"/>
      <x:c r="F16" s="1"/>
      <x:c r="G16" s="1"/>
      <x:c r="H16" s="1"/>
    </x:row>
    <x:row r="17" ht="25" customHeight="1">
      <x:c r="A17" s="18" t="str">
        <x:v>Расчёт</x:v>
      </x:c>
      <x:c r="B17" s="18" t="str">
        <x:v>Результат</x:v>
      </x:c>
      <x:c r="C17" s="18" t="str">
        <x:v>Единица</x:v>
      </x:c>
      <x:c r="D17" s="18" t="str">
        <x:v>Формула и смысл</x:v>
      </x:c>
      <x:c r="E17" s="1"/>
      <x:c r="F17" s="1"/>
      <x:c r="G17" s="1"/>
      <x:c r="H17" s="1"/>
    </x:row>
    <x:row r="18" ht="25" customHeight="1">
      <x:c r="A18" s="16" t="str">
        <x:v>Обрабатывается с Trace</x:v>
      </x:c>
      <x:c r="B18" s="21" t="n">
        <x:f>B6*B7*B8</x:f>
        <x:v>25200</x:v>
      </x:c>
      <x:c r="C18" s="16" t="str">
        <x:v>обращений/год</x:v>
      </x:c>
      <x:c r="D18" s="16" t="str">
        <x:v>Весь поток × применимость × использование</x:v>
      </x:c>
      <x:c r="E18" s="1"/>
      <x:c r="F18" s="1"/>
      <x:c r="G18" s="1"/>
      <x:c r="H18" s="1"/>
    </x:row>
    <x:row r="19" ht="25" customHeight="1">
      <x:c r="A19" s="16" t="str">
        <x:v>Высвобождается активного труда</x:v>
      </x:c>
      <x:c r="B19" s="21" t="n">
        <x:f>B18*B9/60</x:f>
        <x:v>2520</x:v>
      </x:c>
      <x:c r="C19" s="16" t="str">
        <x:v>часов/год</x:v>
      </x:c>
      <x:c r="D19" s="16" t="str">
        <x:v>Обработанный поток × минуты ÷ 60</x:v>
      </x:c>
      <x:c r="E19" s="1"/>
      <x:c r="F19" s="1"/>
      <x:c r="G19" s="1"/>
      <x:c r="H19" s="1"/>
    </x:row>
    <x:row r="20" ht="25" customHeight="1">
      <x:c r="A20" s="16" t="str">
        <x:v>Стоимость времени</x:v>
      </x:c>
      <x:c r="B20" s="21" t="n">
        <x:f>B19*B10</x:f>
        <x:v>2268000</x:v>
      </x:c>
      <x:c r="C20" s="16" t="str">
        <x:v>₽/год</x:v>
      </x:c>
      <x:c r="D20" s="16" t="str">
        <x:v>Часы × полная стоимость часа</x:v>
      </x:c>
      <x:c r="E20" s="1"/>
      <x:c r="F20" s="1"/>
      <x:c r="G20" s="1"/>
      <x:c r="H20" s="1"/>
    </x:row>
    <x:row r="21" ht="25" customHeight="1">
      <x:c r="A21" s="16" t="str">
        <x:v>Реализуемый эффект</x:v>
      </x:c>
      <x:c r="B21" s="21" t="n">
        <x:f>B20*B11</x:f>
        <x:v>1134000</x:v>
      </x:c>
      <x:c r="C21" s="16" t="str">
        <x:v>₽/год</x:v>
      </x:c>
      <x:c r="D21" s="16" t="str">
        <x:v>Стоимость времени × доля реализации</x:v>
      </x:c>
      <x:c r="E21" s="1"/>
      <x:c r="F21" s="1"/>
      <x:c r="G21" s="1"/>
      <x:c r="H21" s="1"/>
    </x:row>
    <x:row r="22" ht="25" customHeight="1">
      <x:c r="A22" s="22" t="str">
        <x:v>Эффект после эксплуатации</x:v>
      </x:c>
      <x:c r="B22" s="23" t="n">
        <x:f>B21-B14</x:f>
        <x:v>-66000</x:v>
      </x:c>
      <x:c r="C22" s="22" t="str">
        <x:v>₽/год</x:v>
      </x:c>
      <x:c r="D22" s="22" t="str">
        <x:v>Эффект минус ежегодные расходы</x:v>
      </x:c>
      <x:c r="E22" s="1"/>
      <x:c r="F22" s="1"/>
      <x:c r="G22" s="1"/>
      <x:c r="H22" s="1"/>
    </x:row>
    <x:row r="23" ht="25" customHeight="1">
      <x:c r="A23" s="22" t="str">
        <x:v>Первоначальные вложения</x:v>
      </x:c>
      <x:c r="B23" s="23" t="n">
        <x:f>B12+B13</x:f>
        <x:v>2400000</x:v>
      </x:c>
      <x:c r="C23" s="22" t="str">
        <x:v>₽</x:v>
      </x:c>
      <x:c r="D23" s="22" t="str">
        <x:v>Разработка и интеграция</x:v>
      </x:c>
      <x:c r="E23" s="1"/>
      <x:c r="F23" s="1"/>
      <x:c r="G23" s="1"/>
      <x:c r="H23" s="1"/>
    </x:row>
    <x:row r="24" ht="25" customHeight="1">
      <x:c r="A24" s="22" t="str">
        <x:v>Простая окупаемость</x:v>
      </x:c>
      <x:c r="B24" s="23" t="str">
        <x:f>IF(B22&gt;0,B23/B22*12,"Не достигается")</x:f>
        <x:v>Не достигается</x:v>
      </x:c>
      <x:c r="C24" s="22" t="str">
        <x:v>месяцев</x:v>
      </x:c>
      <x:c r="D24" s="22" t="str">
        <x:v>Без периода разгона, налогов и дисконтирования</x:v>
      </x:c>
      <x:c r="E24" s="1"/>
      <x:c r="F24" s="1"/>
      <x:c r="G24" s="1"/>
      <x:c r="H24" s="1"/>
    </x:row>
    <x:row r="25" ht="25" customHeight="1">
      <x:c r="A25" s="16" t="str">
        <x:v>Эффект на исходное обращение</x:v>
      </x:c>
      <x:c r="B25" s="21" t="n">
        <x:f>B7*B8*B9/60*B10*B11</x:f>
        <x:v>18.900000000000002</x:v>
      </x:c>
      <x:c r="C25" s="16" t="str">
        <x:v>₽/обращение</x:v>
      </x:c>
      <x:c r="D25" s="16" t="str">
        <x:v>Используется для порога потока</x:v>
      </x:c>
      <x:c r="E25" s="1"/>
      <x:c r="F25" s="1"/>
      <x:c r="G25" s="1"/>
      <x:c r="H25" s="1"/>
    </x:row>
    <x:row r="26" ht="25" customHeight="1">
      <x:c r="A26" s="16" t="str">
        <x:v>Порог покрытия эксплуатации</x:v>
      </x:c>
      <x:c r="B26" s="21" t="n">
        <x:f>IF(B25&gt;0,B14/B25,"Нет эффекта")</x:f>
        <x:v>63492.063492063484</x:v>
      </x:c>
      <x:c r="C26" s="16" t="str">
        <x:v>обращений/год</x:v>
      </x:c>
      <x:c r="D26" s="16" t="str">
        <x:v>Покрывает только ежегодные расходы</x:v>
      </x:c>
      <x:c r="E26" s="1"/>
      <x:c r="F26" s="1"/>
      <x:c r="G26" s="1"/>
      <x:c r="H26" s="1"/>
    </x:row>
    <x:row r="27" ht="25" customHeight="1">
      <x:c r="A27" s="16" t="str">
        <x:v>Порог покрытия всех затрат за год</x:v>
      </x:c>
      <x:c r="B27" s="21" t="n">
        <x:f>IF(B25&gt;0,(B14+B23)/B25,"Нет эффекта")</x:f>
        <x:v>190476.19047619044</x:v>
      </x:c>
      <x:c r="C27" s="16" t="str">
        <x:v>обращений/год</x:v>
      </x:c>
      <x:c r="D27" s="16" t="str">
        <x:v>Первоначальные и ежегодные расходы</x:v>
      </x:c>
      <x:c r="E27" s="1"/>
      <x:c r="F27" s="1"/>
      <x:c r="G27" s="1"/>
      <x:c r="H27" s="1"/>
    </x:row>
    <x:row r="28" ht="25" customHeight="1">
      <x:c r="A28" s="16"/>
      <x:c r="B28" s="16"/>
      <x:c r="C28" s="16"/>
      <x:c r="D28" s="16"/>
      <x:c r="E28" s="1"/>
      <x:c r="F28" s="1"/>
      <x:c r="G28" s="1"/>
      <x:c r="H28" s="1"/>
    </x:row>
    <x:row r="29" ht="25" customHeight="1">
      <x:c r="A29" s="16" t="str">
        <x:v>Чувствительность только к потоку. Все прочие допущения связаны с B7:B14.</x:v>
      </x:c>
      <x:c r="B29" s="16"/>
      <x:c r="C29" s="16"/>
      <x:c r="D29" s="16"/>
      <x:c r="E29" s="1"/>
      <x:c r="F29" s="1"/>
      <x:c r="G29" s="1"/>
      <x:c r="H29" s="1"/>
    </x:row>
    <x:row r="30" ht="25" customHeight="1">
      <x:c r="A30" s="18" t="str">
        <x:v>Поток обращений/год</x:v>
      </x:c>
      <x:c r="B30" s="18" t="str">
        <x:v>Эффект после расходов, ₽/год</x:v>
      </x:c>
      <x:c r="C30" s="18" t="str">
        <x:v>Окупаемость, мес.</x:v>
      </x:c>
      <x:c r="D30" s="18" t="str">
        <x:v>Статус расчёта</x:v>
      </x:c>
      <x:c r="E30" s="1"/>
      <x:c r="F30" s="1"/>
      <x:c r="G30" s="1"/>
      <x:c r="H30" s="1"/>
    </x:row>
    <x:row r="31" ht="25" customHeight="1">
      <x:c r="A31" s="16" t="n">
        <x:v>30000</x:v>
      </x:c>
      <x:c r="B31" s="21" t="n">
        <x:f>A31*$B$25-$B$14</x:f>
        <x:v>-632999.9999999999</x:v>
      </x:c>
      <x:c r="C31" s="21" t="str">
        <x:f>IF(B31&gt;0,$B$23/B31*12,"Не достигается")</x:f>
        <x:v>Не достигается</x:v>
      </x:c>
      <x:c r="D31" s="16" t="str">
        <x:v>Иллюстрация из модели MVP, не прогноз банка</x:v>
      </x:c>
      <x:c r="E31" s="1"/>
      <x:c r="F31" s="1"/>
      <x:c r="G31" s="1"/>
      <x:c r="H31" s="1"/>
    </x:row>
    <x:row r="32" ht="25" customHeight="1">
      <x:c r="A32" s="16" t="n">
        <x:v>60000</x:v>
      </x:c>
      <x:c r="B32" s="21" t="n">
        <x:f>A32*$B$25-$B$14</x:f>
        <x:v>-65999.99999999977</x:v>
      </x:c>
      <x:c r="C32" s="21" t="str">
        <x:f>IF(B32&gt;0,$B$23/B32*12,"Не достигается")</x:f>
        <x:v>Не достигается</x:v>
      </x:c>
      <x:c r="D32" s="16" t="str">
        <x:v>Иллюстрация из модели MVP, не прогноз банка</x:v>
      </x:c>
      <x:c r="E32" s="1"/>
      <x:c r="F32" s="1"/>
      <x:c r="G32" s="1"/>
      <x:c r="H32" s="1"/>
    </x:row>
    <x:row r="33" ht="25" customHeight="1">
      <x:c r="A33" s="16" t="n">
        <x:v>120000</x:v>
      </x:c>
      <x:c r="B33" s="21" t="n">
        <x:f>A33*$B$25-$B$14</x:f>
        <x:v>1068000.0000000005</x:v>
      </x:c>
      <x:c r="C33" s="21" t="n">
        <x:f>IF(B33&gt;0,$B$23/B33*12,"Не достигается")</x:f>
        <x:v>26.96629213483145</x:v>
      </x:c>
      <x:c r="D33" s="16" t="str">
        <x:v>Иллюстрация из модели MVP, не прогноз банка</x:v>
      </x:c>
      <x:c r="E33" s="1"/>
      <x:c r="F33" s="1"/>
      <x:c r="G33" s="1"/>
      <x:c r="H33" s="1"/>
    </x:row>
    <x:row r="34" ht="25" customHeight="1">
      <x:c r="A34" s="16"/>
      <x:c r="B34" s="16"/>
      <x:c r="C34" s="16"/>
      <x:c r="D34" s="16"/>
      <x:c r="E34" s="1"/>
      <x:c r="F34" s="1"/>
      <x:c r="G34" s="1"/>
      <x:c r="H34" s="1"/>
    </x:row>
    <x:row r="35" ht="25" customHeight="1">
      <x:c r="A35" s="16" t="str">
        <x:v>Денежный поток при стабильном режиме с первого месяца. Разгон не моделируется.</x:v>
      </x:c>
      <x:c r="B35" s="16"/>
      <x:c r="C35" s="16"/>
      <x:c r="D35" s="16"/>
      <x:c r="E35" s="1"/>
      <x:c r="F35" s="1"/>
      <x:c r="G35" s="1"/>
      <x:c r="H35" s="1"/>
    </x:row>
    <x:row r="36" ht="25" customHeight="1">
      <x:c r="A36" s="18" t="str">
        <x:v>Месяц</x:v>
      </x:c>
      <x:c r="B36" s="18" t="str">
        <x:v>Эффект минус расходы, ₽</x:v>
      </x:c>
      <x:c r="C36" s="18" t="str">
        <x:v>Накопленный поток, ₽</x:v>
      </x:c>
      <x:c r="D36" s="18" t="str">
        <x:v>Пояснение</x:v>
      </x:c>
      <x:c r="E36" s="1"/>
      <x:c r="F36" s="1"/>
      <x:c r="G36" s="1"/>
      <x:c r="H36" s="1"/>
    </x:row>
    <x:row r="37" ht="25" customHeight="1">
      <x:c r="A37" s="16" t="n">
        <x:v>0</x:v>
      </x:c>
      <x:c r="B37" s="21" t="n">
        <x:f>-B23</x:f>
        <x:v>-2400000</x:v>
      </x:c>
      <x:c r="C37" s="21" t="n">
        <x:f>B37</x:f>
        <x:v>-2400000</x:v>
      </x:c>
      <x:c r="D37" s="16" t="str">
        <x:v>Разработка и интеграция до начала работы</x:v>
      </x:c>
      <x:c r="E37" s="1"/>
      <x:c r="F37" s="1"/>
      <x:c r="G37" s="1"/>
      <x:c r="H37" s="1"/>
    </x:row>
    <x:row r="38" ht="25" customHeight="1">
      <x:c r="A38" s="16" t="n">
        <x:v>1</x:v>
      </x:c>
      <x:c r="B38" s="21" t="n">
        <x:f>$B$22/12</x:f>
        <x:v>-5500</x:v>
      </x:c>
      <x:c r="C38" s="21" t="n">
        <x:f>C37+B38</x:f>
        <x:v>-2405500</x:v>
      </x:c>
      <x:c r="D38" s="16"/>
      <x:c r="E38" s="1"/>
      <x:c r="F38" s="1"/>
      <x:c r="G38" s="1"/>
      <x:c r="H38" s="1"/>
    </x:row>
    <x:row r="39" ht="25" customHeight="1">
      <x:c r="A39" s="16" t="n">
        <x:v>2</x:v>
      </x:c>
      <x:c r="B39" s="21" t="n">
        <x:f>$B$22/12</x:f>
        <x:v>-5500</x:v>
      </x:c>
      <x:c r="C39" s="21" t="n">
        <x:f>C38+B39</x:f>
        <x:v>-2411000</x:v>
      </x:c>
      <x:c r="D39" s="16"/>
      <x:c r="E39" s="1"/>
      <x:c r="F39" s="1"/>
      <x:c r="G39" s="1"/>
      <x:c r="H39" s="1"/>
    </x:row>
    <x:row r="40" ht="25" customHeight="1">
      <x:c r="A40" s="16" t="n">
        <x:v>3</x:v>
      </x:c>
      <x:c r="B40" s="21" t="n">
        <x:f>$B$22/12</x:f>
        <x:v>-5500</x:v>
      </x:c>
      <x:c r="C40" s="21" t="n">
        <x:f>C39+B40</x:f>
        <x:v>-2416500</x:v>
      </x:c>
      <x:c r="D40" s="16"/>
      <x:c r="E40" s="1"/>
      <x:c r="F40" s="1"/>
      <x:c r="G40" s="1"/>
      <x:c r="H40" s="1"/>
    </x:row>
    <x:row r="41" ht="25" customHeight="1">
      <x:c r="A41" s="16" t="n">
        <x:v>4</x:v>
      </x:c>
      <x:c r="B41" s="21" t="n">
        <x:f>$B$22/12</x:f>
        <x:v>-5500</x:v>
      </x:c>
      <x:c r="C41" s="21" t="n">
        <x:f>C40+B41</x:f>
        <x:v>-2422000</x:v>
      </x:c>
      <x:c r="D41" s="16"/>
      <x:c r="E41" s="1"/>
      <x:c r="F41" s="1"/>
      <x:c r="G41" s="1"/>
      <x:c r="H41" s="1"/>
    </x:row>
    <x:row r="42" ht="25" customHeight="1">
      <x:c r="A42" s="16" t="n">
        <x:v>5</x:v>
      </x:c>
      <x:c r="B42" s="21" t="n">
        <x:f>$B$22/12</x:f>
        <x:v>-5500</x:v>
      </x:c>
      <x:c r="C42" s="21" t="n">
        <x:f>C41+B42</x:f>
        <x:v>-2427500</x:v>
      </x:c>
      <x:c r="D42" s="16"/>
      <x:c r="E42" s="1"/>
      <x:c r="F42" s="1"/>
      <x:c r="G42" s="1"/>
      <x:c r="H42" s="1"/>
    </x:row>
    <x:row r="43" ht="25" customHeight="1">
      <x:c r="A43" s="16" t="n">
        <x:v>6</x:v>
      </x:c>
      <x:c r="B43" s="21" t="n">
        <x:f>$B$22/12</x:f>
        <x:v>-5500</x:v>
      </x:c>
      <x:c r="C43" s="21" t="n">
        <x:f>C42+B43</x:f>
        <x:v>-2433000</x:v>
      </x:c>
      <x:c r="D43" s="16"/>
      <x:c r="E43" s="1"/>
      <x:c r="F43" s="1"/>
      <x:c r="G43" s="1"/>
      <x:c r="H43" s="1"/>
    </x:row>
    <x:row r="44" ht="25" customHeight="1">
      <x:c r="A44" s="16" t="n">
        <x:v>7</x:v>
      </x:c>
      <x:c r="B44" s="21" t="n">
        <x:f>$B$22/12</x:f>
        <x:v>-5500</x:v>
      </x:c>
      <x:c r="C44" s="21" t="n">
        <x:f>C43+B44</x:f>
        <x:v>-2438500</x:v>
      </x:c>
      <x:c r="D44" s="16"/>
      <x:c r="E44" s="1"/>
      <x:c r="F44" s="1"/>
      <x:c r="G44" s="1"/>
      <x:c r="H44" s="1"/>
    </x:row>
    <x:row r="45" ht="25" customHeight="1">
      <x:c r="A45" s="16" t="n">
        <x:v>8</x:v>
      </x:c>
      <x:c r="B45" s="21" t="n">
        <x:f>$B$22/12</x:f>
        <x:v>-5500</x:v>
      </x:c>
      <x:c r="C45" s="21" t="n">
        <x:f>C44+B45</x:f>
        <x:v>-2444000</x:v>
      </x:c>
      <x:c r="D45" s="16"/>
      <x:c r="E45" s="1"/>
      <x:c r="F45" s="1"/>
      <x:c r="G45" s="1"/>
      <x:c r="H45" s="1"/>
    </x:row>
    <x:row r="46" ht="25" customHeight="1">
      <x:c r="A46" s="16" t="n">
        <x:v>9</x:v>
      </x:c>
      <x:c r="B46" s="21" t="n">
        <x:f>$B$22/12</x:f>
        <x:v>-5500</x:v>
      </x:c>
      <x:c r="C46" s="21" t="n">
        <x:f>C45+B46</x:f>
        <x:v>-2449500</x:v>
      </x:c>
      <x:c r="D46" s="16"/>
      <x:c r="E46" s="1"/>
      <x:c r="F46" s="1"/>
      <x:c r="G46" s="1"/>
      <x:c r="H46" s="1"/>
    </x:row>
    <x:row r="47" ht="25" customHeight="1">
      <x:c r="A47" s="16" t="n">
        <x:v>10</x:v>
      </x:c>
      <x:c r="B47" s="21" t="n">
        <x:f>$B$22/12</x:f>
        <x:v>-5500</x:v>
      </x:c>
      <x:c r="C47" s="21" t="n">
        <x:f>C46+B47</x:f>
        <x:v>-2455000</x:v>
      </x:c>
      <x:c r="D47" s="16"/>
      <x:c r="E47" s="1"/>
      <x:c r="F47" s="1"/>
      <x:c r="G47" s="1"/>
      <x:c r="H47" s="1"/>
    </x:row>
    <x:row r="48" ht="25" customHeight="1">
      <x:c r="A48" s="16" t="n">
        <x:v>11</x:v>
      </x:c>
      <x:c r="B48" s="21" t="n">
        <x:f>$B$22/12</x:f>
        <x:v>-5500</x:v>
      </x:c>
      <x:c r="C48" s="21" t="n">
        <x:f>C47+B48</x:f>
        <x:v>-2460500</x:v>
      </x:c>
      <x:c r="D48" s="16"/>
      <x:c r="E48" s="1"/>
      <x:c r="F48" s="1"/>
      <x:c r="G48" s="1"/>
      <x:c r="H48" s="1"/>
    </x:row>
    <x:row r="49" ht="25" customHeight="1">
      <x:c r="A49" s="16" t="n">
        <x:v>12</x:v>
      </x:c>
      <x:c r="B49" s="21" t="n">
        <x:f>$B$22/12</x:f>
        <x:v>-5500</x:v>
      </x:c>
      <x:c r="C49" s="21" t="n">
        <x:f>C48+B49</x:f>
        <x:v>-2466000</x:v>
      </x:c>
      <x:c r="D49" s="16"/>
      <x:c r="E49" s="1"/>
      <x:c r="F49" s="1"/>
      <x:c r="G49" s="1"/>
      <x:c r="H49" s="1"/>
    </x:row>
    <x:row r="50" ht="25" customHeight="1">
      <x:c r="A50" s="16" t="n">
        <x:v>13</x:v>
      </x:c>
      <x:c r="B50" s="21" t="n">
        <x:f>$B$22/12</x:f>
        <x:v>-5500</x:v>
      </x:c>
      <x:c r="C50" s="21" t="n">
        <x:f>C49+B50</x:f>
        <x:v>-2471500</x:v>
      </x:c>
      <x:c r="D50" s="16"/>
      <x:c r="E50" s="1"/>
      <x:c r="F50" s="1"/>
      <x:c r="G50" s="1"/>
      <x:c r="H50" s="1"/>
    </x:row>
    <x:row r="51" ht="25" customHeight="1">
      <x:c r="A51" s="16" t="n">
        <x:v>14</x:v>
      </x:c>
      <x:c r="B51" s="21" t="n">
        <x:f>$B$22/12</x:f>
        <x:v>-5500</x:v>
      </x:c>
      <x:c r="C51" s="21" t="n">
        <x:f>C50+B51</x:f>
        <x:v>-2477000</x:v>
      </x:c>
      <x:c r="D51" s="16"/>
      <x:c r="E51" s="1"/>
      <x:c r="F51" s="1"/>
      <x:c r="G51" s="1"/>
      <x:c r="H51" s="1"/>
    </x:row>
    <x:row r="52" ht="25" customHeight="1">
      <x:c r="A52" s="16" t="n">
        <x:v>15</x:v>
      </x:c>
      <x:c r="B52" s="21" t="n">
        <x:f>$B$22/12</x:f>
        <x:v>-5500</x:v>
      </x:c>
      <x:c r="C52" s="21" t="n">
        <x:f>C51+B52</x:f>
        <x:v>-2482500</x:v>
      </x:c>
      <x:c r="D52" s="16"/>
      <x:c r="E52" s="1"/>
      <x:c r="F52" s="1"/>
      <x:c r="G52" s="1"/>
      <x:c r="H52" s="1"/>
    </x:row>
    <x:row r="53" ht="25" customHeight="1">
      <x:c r="A53" s="16" t="n">
        <x:v>16</x:v>
      </x:c>
      <x:c r="B53" s="21" t="n">
        <x:f>$B$22/12</x:f>
        <x:v>-5500</x:v>
      </x:c>
      <x:c r="C53" s="21" t="n">
        <x:f>C52+B53</x:f>
        <x:v>-2488000</x:v>
      </x:c>
      <x:c r="D53" s="16"/>
      <x:c r="E53" s="1"/>
      <x:c r="F53" s="1"/>
      <x:c r="G53" s="1"/>
      <x:c r="H53" s="1"/>
    </x:row>
    <x:row r="54" ht="25" customHeight="1">
      <x:c r="A54" s="16" t="n">
        <x:v>17</x:v>
      </x:c>
      <x:c r="B54" s="21" t="n">
        <x:f>$B$22/12</x:f>
        <x:v>-5500</x:v>
      </x:c>
      <x:c r="C54" s="21" t="n">
        <x:f>C53+B54</x:f>
        <x:v>-2493500</x:v>
      </x:c>
      <x:c r="D54" s="16"/>
      <x:c r="E54" s="1"/>
      <x:c r="F54" s="1"/>
      <x:c r="G54" s="1"/>
      <x:c r="H54" s="1"/>
    </x:row>
    <x:row r="55" ht="25" customHeight="1">
      <x:c r="A55" s="16" t="n">
        <x:v>18</x:v>
      </x:c>
      <x:c r="B55" s="21" t="n">
        <x:f>$B$22/12</x:f>
        <x:v>-5500</x:v>
      </x:c>
      <x:c r="C55" s="21" t="n">
        <x:f>C54+B55</x:f>
        <x:v>-2499000</x:v>
      </x:c>
      <x:c r="D55" s="16"/>
      <x:c r="E55" s="1"/>
      <x:c r="F55" s="1"/>
      <x:c r="G55" s="1"/>
      <x:c r="H55" s="1"/>
    </x:row>
    <x:row r="56" ht="25" customHeight="1">
      <x:c r="A56" s="16" t="n">
        <x:v>19</x:v>
      </x:c>
      <x:c r="B56" s="21" t="n">
        <x:f>$B$22/12</x:f>
        <x:v>-5500</x:v>
      </x:c>
      <x:c r="C56" s="21" t="n">
        <x:f>C55+B56</x:f>
        <x:v>-2504500</x:v>
      </x:c>
      <x:c r="D56" s="16"/>
      <x:c r="E56" s="1"/>
      <x:c r="F56" s="1"/>
      <x:c r="G56" s="1"/>
      <x:c r="H56" s="1"/>
    </x:row>
    <x:row r="57" ht="25" customHeight="1">
      <x:c r="A57" s="16" t="n">
        <x:v>20</x:v>
      </x:c>
      <x:c r="B57" s="21" t="n">
        <x:f>$B$22/12</x:f>
        <x:v>-5500</x:v>
      </x:c>
      <x:c r="C57" s="21" t="n">
        <x:f>C56+B57</x:f>
        <x:v>-2510000</x:v>
      </x:c>
      <x:c r="D57" s="16"/>
      <x:c r="E57" s="1"/>
      <x:c r="F57" s="1"/>
      <x:c r="G57" s="1"/>
      <x:c r="H57" s="1"/>
    </x:row>
    <x:row r="58" ht="25" customHeight="1">
      <x:c r="A58" s="16" t="n">
        <x:v>21</x:v>
      </x:c>
      <x:c r="B58" s="21" t="n">
        <x:f>$B$22/12</x:f>
        <x:v>-5500</x:v>
      </x:c>
      <x:c r="C58" s="21" t="n">
        <x:f>C57+B58</x:f>
        <x:v>-2515500</x:v>
      </x:c>
      <x:c r="D58" s="16"/>
      <x:c r="E58" s="1"/>
      <x:c r="F58" s="1"/>
      <x:c r="G58" s="1"/>
      <x:c r="H58" s="1"/>
    </x:row>
    <x:row r="59" ht="25" customHeight="1">
      <x:c r="A59" s="16" t="n">
        <x:v>22</x:v>
      </x:c>
      <x:c r="B59" s="21" t="n">
        <x:f>$B$22/12</x:f>
        <x:v>-5500</x:v>
      </x:c>
      <x:c r="C59" s="21" t="n">
        <x:f>C58+B59</x:f>
        <x:v>-2521000</x:v>
      </x:c>
      <x:c r="D59" s="16"/>
      <x:c r="E59" s="1"/>
      <x:c r="F59" s="1"/>
      <x:c r="G59" s="1"/>
      <x:c r="H59" s="1"/>
    </x:row>
    <x:row r="60" ht="25" customHeight="1">
      <x:c r="A60" s="16" t="n">
        <x:v>23</x:v>
      </x:c>
      <x:c r="B60" s="21" t="n">
        <x:f>$B$22/12</x:f>
        <x:v>-5500</x:v>
      </x:c>
      <x:c r="C60" s="21" t="n">
        <x:f>C59+B60</x:f>
        <x:v>-2526500</x:v>
      </x:c>
      <x:c r="D60" s="16"/>
      <x:c r="E60" s="1"/>
      <x:c r="F60" s="1"/>
      <x:c r="G60" s="1"/>
      <x:c r="H60" s="1"/>
    </x:row>
    <x:row r="61" ht="25" customHeight="1">
      <x:c r="A61" s="16" t="n">
        <x:v>24</x:v>
      </x:c>
      <x:c r="B61" s="21" t="n">
        <x:f>$B$22/12</x:f>
        <x:v>-5500</x:v>
      </x:c>
      <x:c r="C61" s="21" t="n">
        <x:f>C60+B61</x:f>
        <x:v>-2532000</x:v>
      </x:c>
      <x:c r="D61" s="16"/>
      <x:c r="E61" s="1"/>
      <x:c r="F61" s="1"/>
      <x:c r="G61" s="1"/>
      <x:c r="H61" s="1"/>
    </x:row>
    <x:row r="62" ht="25" customHeight="1">
      <x:c r="A62" s="16"/>
      <x:c r="B62" s="16"/>
      <x:c r="C62" s="16"/>
      <x:c r="D62" s="16"/>
      <x:c r="E62" s="1"/>
      <x:c r="F62" s="1"/>
      <x:c r="G62" s="1"/>
      <x:c r="H62" s="1"/>
    </x:row>
    <x:row r="63" ht="25" customHeight="1">
      <x:c r="A63" s="16"/>
      <x:c r="B63" s="16"/>
      <x:c r="C63" s="16"/>
      <x:c r="D63" s="16"/>
      <x:c r="E63" s="1"/>
      <x:c r="F63" s="1"/>
      <x:c r="G63" s="1"/>
      <x:c r="H63" s="1"/>
    </x:row>
    <x:row r="64" ht="25" customHeight="1">
      <x:c r="A64" s="16"/>
      <x:c r="B64" s="16"/>
      <x:c r="C64" s="16"/>
      <x:c r="D64" s="16"/>
      <x:c r="E64" s="1"/>
      <x:c r="F64" s="1"/>
      <x:c r="G64" s="1"/>
      <x:c r="H64" s="1"/>
    </x:row>
    <x:row r="65" ht="25" customHeight="1">
      <x:c r="A65" s="16"/>
      <x:c r="B65" s="16"/>
      <x:c r="C65" s="16"/>
      <x:c r="D65" s="16"/>
      <x:c r="E65" s="1"/>
      <x:c r="F65" s="1"/>
      <x:c r="G65" s="1"/>
      <x:c r="H65" s="1"/>
    </x:row>
  </x:sheetData>
  <x:mergeCells>
    <x:mergeCell ref="A2:D2"/>
    <x:mergeCell ref="A3:D3"/>
    <x:mergeCell ref="A29:D29"/>
    <x:mergeCell ref="A35:D35"/>
  </x:mergeCells>
  <x:dataValidations count="3">
    <x:dataValidation type="decimal" operator="between" sqref="B7">
      <x:formula1>0</x:formula1>
      <x:formula2>1</x:formula2>
    </x:dataValidation>
    <x:dataValidation type="decimal" operator="between" sqref="B8">
      <x:formula1>0</x:formula1>
      <x:formula2>1</x:formula2>
    </x:dataValidation>
    <x:dataValidation type="decimal" operator="between" sqref="B11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45" hidden="0" customWidth="1"/>
    <x:col min="3" max="3" width="45" hidden="0" customWidth="1"/>
    <x:col min="4" max="4" width="88" hidden="0" customWidth="1"/>
  </x:cols>
  <x:sheetData>
    <x:row r="1" ht="25" customHeight="1">
      <x:c r="A1" s="16"/>
      <x:c r="B1" s="16"/>
      <x:c r="C1" s="16"/>
      <x:c r="D1" s="16"/>
      <x:c r="E1" s="1"/>
      <x:c r="F1" s="1"/>
      <x:c r="G1" s="1"/>
      <x:c r="H1" s="1"/>
    </x:row>
    <x:row r="2" ht="25" customHeight="1">
      <x:c r="A2" s="17" t="str">
        <x:v>Охват: оценка снизу вверх</x:v>
      </x:c>
      <x:c r="B2" s="16"/>
      <x:c r="C2" s="16"/>
      <x:c r="D2" s="16"/>
      <x:c r="E2" s="1"/>
      <x:c r="F2" s="1"/>
      <x:c r="G2" s="1"/>
      <x:c r="H2" s="1"/>
    </x:row>
    <x:row r="3" ht="25" customHeight="1">
      <x:c r="A3" s="16" t="str">
        <x:v>Нет подтверждённой оценки TAM/SAM/SOM в деньгах или рабочих местах. Пустые входы означают отсутствие данных.</x:v>
      </x:c>
      <x:c r="B3" s="16"/>
      <x:c r="C3" s="16"/>
      <x:c r="D3" s="16"/>
      <x:c r="E3" s="1"/>
      <x:c r="F3" s="1"/>
      <x:c r="G3" s="1"/>
      <x:c r="H3" s="1"/>
    </x:row>
    <x:row r="4" ht="25" customHeight="1">
      <x:c r="A4" s="16"/>
      <x:c r="B4" s="16"/>
      <x:c r="C4" s="16"/>
      <x:c r="D4" s="16"/>
      <x:c r="E4" s="1"/>
      <x:c r="F4" s="1"/>
      <x:c r="G4" s="1"/>
      <x:c r="H4" s="1"/>
    </x:row>
    <x:row r="5" ht="25" customHeight="1">
      <x:c r="A5" s="18" t="str">
        <x:v>Показатель</x:v>
      </x:c>
      <x:c r="B5" s="18" t="str">
        <x:v>Значение</x:v>
      </x:c>
      <x:c r="C5" s="18" t="str">
        <x:v>Единица</x:v>
      </x:c>
      <x:c r="D5" s="18" t="str">
        <x:v>Источник для заполнения</x:v>
      </x:c>
      <x:c r="E5" s="1"/>
      <x:c r="F5" s="1"/>
      <x:c r="G5" s="1"/>
      <x:c r="H5" s="1"/>
    </x:row>
    <x:row r="6" ht="25" customHeight="1">
      <x:c r="A6" s="27" t="str">
        <x:v>Сотрудники выбранного процесса</x:v>
      </x:c>
      <x:c r="B6" s="28"/>
      <x:c r="C6" s="27" t="str">
        <x:v>человек</x:v>
      </x:c>
      <x:c r="D6" s="27" t="str">
        <x:v>Владелец процесса, без дублирования ролей</x:v>
      </x:c>
      <x:c r="E6" s="1"/>
      <x:c r="F6" s="1"/>
      <x:c r="G6" s="1"/>
      <x:c r="H6" s="1"/>
    </x:row>
    <x:row r="7" ht="25" customHeight="1">
      <x:c r="A7" s="27" t="str">
        <x:v>Доля с применимым профилем</x:v>
      </x:c>
      <x:c r="B7" s="28"/>
      <x:c r="C7" s="27" t="str">
        <x:v>доля</x:v>
      </x:c>
      <x:c r="D7" s="27" t="str">
        <x:v>Аудит выполняемых задач</x:v>
      </x:c>
      <x:c r="E7" s="1"/>
      <x:c r="F7" s="1"/>
      <x:c r="G7" s="1"/>
      <x:c r="H7" s="1"/>
    </x:row>
    <x:row r="8" ht="25" customHeight="1">
      <x:c r="A8" s="27" t="str">
        <x:v>Доля реально использующих</x:v>
      </x:c>
      <x:c r="B8" s="28"/>
      <x:c r="C8" s="27" t="str">
        <x:v>доля</x:v>
      </x:c>
      <x:c r="D8" s="27" t="str">
        <x:v>Активность за согласованный период</x:v>
      </x:c>
      <x:c r="E8" s="1"/>
      <x:c r="F8" s="1"/>
      <x:c r="G8" s="1"/>
      <x:c r="H8" s="1"/>
    </x:row>
    <x:row r="9" ht="25" customHeight="1">
      <x:c r="A9" s="27" t="str">
        <x:v>Годовой поток процесса</x:v>
      </x:c>
      <x:c r="B9" s="28"/>
      <x:c r="C9" s="27" t="str">
        <x:v>обращений</x:v>
      </x:c>
      <x:c r="D9" s="27" t="str">
        <x:v>Агрегированный отчёт банка</x:v>
      </x:c>
      <x:c r="E9" s="1"/>
      <x:c r="F9" s="1"/>
      <x:c r="G9" s="1"/>
      <x:c r="H9" s="1"/>
    </x:row>
    <x:row r="10" ht="25" customHeight="1">
      <x:c r="A10" s="27"/>
      <x:c r="B10" s="27"/>
      <x:c r="C10" s="27"/>
      <x:c r="D10" s="27"/>
      <x:c r="E10" s="1"/>
      <x:c r="F10" s="1"/>
      <x:c r="G10" s="1"/>
      <x:c r="H10" s="1"/>
    </x:row>
    <x:row r="11" ht="25" customHeight="1">
      <x:c r="A11" s="27"/>
      <x:c r="B11" s="27"/>
      <x:c r="C11" s="27"/>
      <x:c r="D11" s="27"/>
      <x:c r="E11" s="1"/>
      <x:c r="F11" s="1"/>
      <x:c r="G11" s="1"/>
      <x:c r="H11" s="1"/>
    </x:row>
    <x:row r="12" ht="25" customHeight="1">
      <x:c r="A12" s="27" t="str">
        <x:v>Достижимый охват</x:v>
      </x:c>
      <x:c r="B12" s="27" t="str">
        <x:f>IF(COUNT(B6:B8)=3,B6*B7*B8,"Нужны данные банка")</x:f>
        <x:v>Нужны данные банка</x:v>
      </x:c>
      <x:c r="C12" s="27" t="str">
        <x:v>активных сотрудников</x:v>
      </x:c>
      <x:c r="D12" s="27" t="str">
        <x:v>Охват не равен всем сотрудникам банка</x:v>
      </x:c>
      <x:c r="E12" s="1"/>
      <x:c r="F12" s="1"/>
      <x:c r="G12" s="1"/>
      <x:c r="H12" s="1"/>
    </x:row>
    <x:row r="13" ht="25" customHeight="1">
      <x:c r="A13" s="27"/>
      <x:c r="B13" s="27"/>
      <x:c r="C13" s="27"/>
      <x:c r="D13" s="27"/>
      <x:c r="E13" s="1"/>
      <x:c r="F13" s="1"/>
      <x:c r="G13" s="1"/>
      <x:c r="H13" s="1"/>
    </x:row>
    <x:row r="14" ht="25" customHeight="1">
      <x:c r="A14" s="27"/>
      <x:c r="B14" s="27"/>
      <x:c r="C14" s="27"/>
      <x:c r="D14" s="27"/>
      <x:c r="E14" s="1"/>
      <x:c r="F14" s="1"/>
      <x:c r="G14" s="1"/>
      <x:c r="H14" s="1"/>
    </x:row>
    <x:row r="15" ht="52" customHeight="1">
      <x:c r="A15" s="29" t="str">
        <x:v>Уровень</x:v>
      </x:c>
      <x:c r="B15" s="29" t="str">
        <x:v>Граница</x:v>
      </x:c>
      <x:c r="C15" s="29" t="str">
        <x:v>Что считаем</x:v>
      </x:c>
      <x:c r="D15" s="29" t="str">
        <x:v>Статус</x:v>
      </x:c>
      <x:c r="E15" s="1"/>
      <x:c r="F15" s="1"/>
      <x:c r="G15" s="1"/>
      <x:c r="H15" s="1"/>
    </x:row>
    <x:row r="16" ht="52" customHeight="1">
      <x:c r="A16" s="27" t="str">
        <x:v>TAM</x:v>
      </x:c>
      <x:c r="B16" s="27" t="str">
        <x:v>Банковские процессы РФ</x:v>
      </x:c>
      <x:c r="C16" s="27" t="str">
        <x:v>Исполнители и подходящие обращения</x:v>
      </x:c>
      <x:c r="D16" s="27" t="str">
        <x:v>Методика без численной оценки</x:v>
      </x:c>
      <x:c r="E16" s="1"/>
      <x:c r="F16" s="1"/>
      <x:c r="G16" s="1"/>
      <x:c r="H16" s="1"/>
    </x:row>
    <x:row r="17" ht="52" customHeight="1">
      <x:c r="A17" s="27" t="str">
        <x:v>SAM</x:v>
      </x:c>
      <x:c r="B17" s="27" t="str">
        <x:v>Выбранные профили и интеграции</x:v>
      </x:c>
      <x:c r="C17" s="27" t="str">
        <x:v>Применимые задачи с доступными данными</x:v>
      </x:c>
      <x:c r="D17" s="27" t="str">
        <x:v>Потребуется аудит банка</x:v>
      </x:c>
      <x:c r="E17" s="1"/>
      <x:c r="F17" s="1"/>
      <x:c r="G17" s="1"/>
      <x:c r="H17" s="1"/>
    </x:row>
    <x:row r="18" ht="52" customHeight="1">
      <x:c r="A18" s="27" t="str">
        <x:v>SOM</x:v>
      </x:c>
      <x:c r="B18" s="27" t="str">
        <x:v>Согласованный пилотный контур</x:v>
      </x:c>
      <x:c r="C18" s="27" t="str">
        <x:v>Подключённые активные пользователи</x:v>
      </x:c>
      <x:c r="D18" s="27" t="str">
        <x:v>Пилот не согласован</x:v>
      </x:c>
      <x:c r="E18" s="1"/>
      <x:c r="F18" s="1"/>
      <x:c r="G18" s="1"/>
      <x:c r="H18" s="1"/>
    </x:row>
    <x:row r="19" ht="52" customHeight="1">
      <x:c r="A19" s="27" t="str">
        <x:v>Проверка сегмента</x:v>
      </x:c>
      <x:c r="B19" s="27" t="str">
        <x:v>Один процесс поставки товаров</x:v>
      </x:c>
      <x:c r="C19" s="27" t="str">
        <x:v>Договор, первичный документ, платежи</x:v>
      </x:c>
      <x:c r="D19" s="27" t="str">
        <x:v>Гипотеза входа, не подтверждённый рынок</x:v>
      </x:c>
      <x:c r="E19" s="1"/>
      <x:c r="F19" s="1"/>
      <x:c r="G19" s="1"/>
      <x:c r="H19" s="1"/>
    </x:row>
    <x:row r="20" ht="25" customHeight="1">
      <x:c r="A20" s="27"/>
      <x:c r="B20" s="27"/>
      <x:c r="C20" s="27"/>
      <x:c r="D20" s="27"/>
      <x:c r="E20" s="1"/>
      <x:c r="F20" s="1"/>
      <x:c r="G20" s="1"/>
      <x:c r="H20" s="1"/>
    </x:row>
    <x:row r="21" ht="25" customHeight="1">
      <x:c r="A21" s="27"/>
      <x:c r="B21" s="27"/>
      <x:c r="C21" s="27"/>
      <x:c r="D21" s="27"/>
      <x:c r="E21" s="1"/>
      <x:c r="F21" s="1"/>
      <x:c r="G21" s="1"/>
      <x:c r="H21" s="1"/>
    </x:row>
    <x:row r="22" ht="25" customHeight="1">
      <x:c r="A22" s="27" t="str">
        <x:v>Данные, которые запрашиваем</x:v>
      </x:c>
      <x:c r="B22" s="27" t="str">
        <x:v>Зачем</x:v>
      </x:c>
      <x:c r="C22" s="27" t="str"/>
      <x:c r="D22" s="27" t="str"/>
      <x:c r="E22" s="1"/>
      <x:c r="F22" s="1"/>
      <x:c r="G22" s="1"/>
      <x:c r="H22" s="1"/>
    </x:row>
    <x:row r="23" ht="25" customHeight="1">
      <x:c r="A23" s="27" t="str">
        <x:v>Объём и сезонность обращений</x:v>
      </x:c>
      <x:c r="B23" s="27" t="str">
        <x:v>Размер потока</x:v>
      </x:c>
      <x:c r="C23" s="27" t="str"/>
      <x:c r="D23" s="27" t="str"/>
      <x:c r="E23" s="1"/>
      <x:c r="F23" s="1"/>
      <x:c r="G23" s="1"/>
      <x:c r="H23" s="1"/>
    </x:row>
    <x:row r="24" ht="25" customHeight="1">
      <x:c r="A24" s="27" t="str">
        <x:v>Активные минуты и возвраты</x:v>
      </x:c>
      <x:c r="B24" s="27" t="str">
        <x:v>Базовая линия эффекта</x:v>
      </x:c>
      <x:c r="C24" s="27" t="str"/>
      <x:c r="D24" s="27" t="str"/>
      <x:c r="E24" s="1"/>
      <x:c r="F24" s="1"/>
      <x:c r="G24" s="1"/>
      <x:c r="H24" s="1"/>
    </x:row>
    <x:row r="25" ht="25" customHeight="1">
      <x:c r="A25" s="27" t="str">
        <x:v>Текущие системы и ограничения</x:v>
      </x:c>
      <x:c r="B25" s="27" t="str">
        <x:v>Проверка свободной ниши</x:v>
      </x:c>
      <x:c r="C25" s="27" t="str"/>
      <x:c r="D25" s="27" t="str"/>
      <x:c r="E25" s="1"/>
      <x:c r="F25" s="1"/>
      <x:c r="G25" s="1"/>
      <x:c r="H25" s="1"/>
    </x:row>
    <x:row r="26" ht="25" customHeight="1">
      <x:c r="A26" s="16"/>
      <x:c r="B26" s="16"/>
      <x:c r="C26" s="16"/>
      <x:c r="D26" s="16"/>
      <x:c r="E26" s="1"/>
      <x:c r="F26" s="1"/>
      <x:c r="G26" s="1"/>
      <x:c r="H26" s="1"/>
    </x:row>
    <x:row r="27" ht="25" customHeight="1">
      <x:c r="A27" s="16"/>
      <x:c r="B27" s="16"/>
      <x:c r="C27" s="16"/>
      <x:c r="D27" s="16"/>
      <x:c r="E27" s="1"/>
      <x:c r="F27" s="1"/>
      <x:c r="G27" s="1"/>
      <x:c r="H27" s="1"/>
    </x:row>
    <x:row r="28" ht="25" customHeight="1">
      <x:c r="A28" s="16"/>
      <x:c r="B28" s="16"/>
      <x:c r="C28" s="16"/>
      <x:c r="D28" s="16"/>
      <x:c r="E28" s="1"/>
      <x:c r="F28" s="1"/>
      <x:c r="G28" s="1"/>
      <x:c r="H28" s="1"/>
    </x:row>
    <x:row r="29" ht="25" customHeight="1">
      <x:c r="A29" s="16"/>
      <x:c r="B29" s="16"/>
      <x:c r="C29" s="16"/>
      <x:c r="D29" s="16"/>
      <x:c r="E29" s="1"/>
      <x:c r="F29" s="1"/>
      <x:c r="G29" s="1"/>
      <x:c r="H29" s="1"/>
    </x:row>
    <x:row r="30" ht="25" customHeight="1">
      <x:c r="A30" s="16"/>
      <x:c r="B30" s="16"/>
      <x:c r="C30" s="16"/>
      <x:c r="D30" s="16"/>
      <x:c r="E30" s="1"/>
      <x:c r="F30" s="1"/>
      <x:c r="G30" s="1"/>
      <x:c r="H30" s="1"/>
    </x:row>
    <x:row r="31" ht="25" customHeight="1">
      <x:c r="A31" s="16"/>
      <x:c r="B31" s="16"/>
      <x:c r="C31" s="16"/>
      <x:c r="D31" s="16"/>
      <x:c r="E31" s="1"/>
      <x:c r="F31" s="1"/>
      <x:c r="G31" s="1"/>
      <x:c r="H31" s="1"/>
    </x:row>
    <x:row r="32" ht="25" customHeight="1">
      <x:c r="A32" s="16"/>
      <x:c r="B32" s="16"/>
      <x:c r="C32" s="16"/>
      <x:c r="D32" s="16"/>
      <x:c r="E32" s="1"/>
      <x:c r="F32" s="1"/>
      <x:c r="G32" s="1"/>
      <x:c r="H32" s="1"/>
    </x:row>
    <x:row r="33" ht="25" customHeight="1">
      <x:c r="A33" s="16"/>
      <x:c r="B33" s="16"/>
      <x:c r="C33" s="16"/>
      <x:c r="D33" s="16"/>
      <x:c r="E33" s="1"/>
      <x:c r="F33" s="1"/>
      <x:c r="G33" s="1"/>
      <x:c r="H33" s="1"/>
    </x:row>
    <x:row r="34" ht="25" customHeight="1">
      <x:c r="A34" s="16"/>
      <x:c r="B34" s="16"/>
      <x:c r="C34" s="16"/>
      <x:c r="D34" s="16"/>
      <x:c r="E34" s="1"/>
      <x:c r="F34" s="1"/>
      <x:c r="G34" s="1"/>
      <x:c r="H34" s="1"/>
    </x:row>
    <x:row r="35" ht="25" customHeight="1">
      <x:c r="A35" s="16"/>
      <x:c r="B35" s="16"/>
      <x:c r="C35" s="16"/>
      <x:c r="D35" s="16"/>
      <x:c r="E35" s="1"/>
      <x:c r="F35" s="1"/>
      <x:c r="G35" s="1"/>
      <x:c r="H35" s="1"/>
    </x:row>
    <x:row r="36" ht="25" customHeight="1">
      <x:c r="A36" s="16"/>
      <x:c r="B36" s="16"/>
      <x:c r="C36" s="16"/>
      <x:c r="D36" s="16"/>
      <x:c r="E36" s="1"/>
      <x:c r="F36" s="1"/>
      <x:c r="G36" s="1"/>
      <x:c r="H36" s="1"/>
    </x:row>
    <x:row r="37" ht="25" customHeight="1">
      <x:c r="A37" s="16"/>
      <x:c r="B37" s="16"/>
      <x:c r="C37" s="16"/>
      <x:c r="D37" s="16"/>
      <x:c r="E37" s="1"/>
      <x:c r="F37" s="1"/>
      <x:c r="G37" s="1"/>
      <x:c r="H37" s="1"/>
    </x:row>
    <x:row r="38" ht="25" customHeight="1">
      <x:c r="A38" s="16"/>
      <x:c r="B38" s="16"/>
      <x:c r="C38" s="16"/>
      <x:c r="D38" s="16"/>
      <x:c r="E38" s="1"/>
      <x:c r="F38" s="1"/>
      <x:c r="G38" s="1"/>
      <x:c r="H38" s="1"/>
    </x:row>
    <x:row r="39" ht="25" customHeight="1">
      <x:c r="A39" s="16"/>
      <x:c r="B39" s="16"/>
      <x:c r="C39" s="16"/>
      <x:c r="D39" s="16"/>
      <x:c r="E39" s="1"/>
      <x:c r="F39" s="1"/>
      <x:c r="G39" s="1"/>
      <x:c r="H39" s="1"/>
    </x:row>
    <x:row r="40" ht="25" customHeight="1">
      <x:c r="A40" s="16"/>
      <x:c r="B40" s="16"/>
      <x:c r="C40" s="16"/>
      <x:c r="D40" s="16"/>
      <x:c r="E40" s="1"/>
      <x:c r="F40" s="1"/>
      <x:c r="G40" s="1"/>
      <x:c r="H40" s="1"/>
    </x:row>
    <x:row r="41" ht="25" customHeight="1">
      <x:c r="A41" s="16"/>
      <x:c r="B41" s="16"/>
      <x:c r="C41" s="16"/>
      <x:c r="D41" s="16"/>
      <x:c r="E41" s="1"/>
      <x:c r="F41" s="1"/>
      <x:c r="G41" s="1"/>
      <x:c r="H41" s="1"/>
    </x:row>
    <x:row r="42" ht="25" customHeight="1">
      <x:c r="A42" s="16"/>
      <x:c r="B42" s="16"/>
      <x:c r="C42" s="16"/>
      <x:c r="D42" s="16"/>
      <x:c r="E42" s="1"/>
      <x:c r="F42" s="1"/>
      <x:c r="G42" s="1"/>
      <x:c r="H42" s="1"/>
    </x:row>
    <x:row r="43" ht="25" customHeight="1">
      <x:c r="A43" s="16"/>
      <x:c r="B43" s="16"/>
      <x:c r="C43" s="16"/>
      <x:c r="D43" s="16"/>
      <x:c r="E43" s="1"/>
      <x:c r="F43" s="1"/>
      <x:c r="G43" s="1"/>
      <x:c r="H43" s="1"/>
    </x:row>
    <x:row r="44" ht="25" customHeight="1">
      <x:c r="A44" s="16"/>
      <x:c r="B44" s="16"/>
      <x:c r="C44" s="16"/>
      <x:c r="D44" s="16"/>
      <x:c r="E44" s="1"/>
      <x:c r="F44" s="1"/>
      <x:c r="G44" s="1"/>
      <x:c r="H44" s="1"/>
    </x:row>
    <x:row r="45" ht="25" customHeight="1">
      <x:c r="A45" s="16"/>
      <x:c r="B45" s="16"/>
      <x:c r="C45" s="16"/>
      <x:c r="D45" s="16"/>
      <x:c r="E45" s="1"/>
      <x:c r="F45" s="1"/>
      <x:c r="G45" s="1"/>
      <x:c r="H45" s="1"/>
    </x:row>
    <x:row r="46" ht="25" customHeight="1">
      <x:c r="A46" s="16"/>
      <x:c r="B46" s="16"/>
      <x:c r="C46" s="16"/>
      <x:c r="D46" s="16"/>
      <x:c r="E46" s="1"/>
      <x:c r="F46" s="1"/>
      <x:c r="G46" s="1"/>
      <x:c r="H46" s="1"/>
    </x:row>
    <x:row r="47" ht="25" customHeight="1">
      <x:c r="A47" s="16"/>
      <x:c r="B47" s="16"/>
      <x:c r="C47" s="16"/>
      <x:c r="D47" s="16"/>
      <x:c r="E47" s="1"/>
      <x:c r="F47" s="1"/>
      <x:c r="G47" s="1"/>
      <x:c r="H47" s="1"/>
    </x:row>
    <x:row r="48" ht="25" customHeight="1">
      <x:c r="A48" s="16"/>
      <x:c r="B48" s="16"/>
      <x:c r="C48" s="16"/>
      <x:c r="D48" s="16"/>
      <x:c r="E48" s="1"/>
      <x:c r="F48" s="1"/>
      <x:c r="G48" s="1"/>
      <x:c r="H48" s="1"/>
    </x:row>
    <x:row r="49" ht="25" customHeight="1">
      <x:c r="A49" s="16"/>
      <x:c r="B49" s="16"/>
      <x:c r="C49" s="16"/>
      <x:c r="D49" s="16"/>
      <x:c r="E49" s="1"/>
      <x:c r="F49" s="1"/>
      <x:c r="G49" s="1"/>
      <x:c r="H49" s="1"/>
    </x:row>
    <x:row r="50" ht="25" customHeight="1">
      <x:c r="A50" s="16"/>
      <x:c r="B50" s="16"/>
      <x:c r="C50" s="16"/>
      <x:c r="D50" s="16"/>
      <x:c r="E50" s="1"/>
      <x:c r="F50" s="1"/>
      <x:c r="G50" s="1"/>
      <x:c r="H50" s="1"/>
    </x:row>
    <x:row r="51" ht="25" customHeight="1">
      <x:c r="A51" s="16"/>
      <x:c r="B51" s="16"/>
      <x:c r="C51" s="16"/>
      <x:c r="D51" s="16"/>
      <x:c r="E51" s="1"/>
      <x:c r="F51" s="1"/>
      <x:c r="G51" s="1"/>
      <x:c r="H51" s="1"/>
    </x:row>
    <x:row r="52" ht="25" customHeight="1">
      <x:c r="A52" s="16"/>
      <x:c r="B52" s="16"/>
      <x:c r="C52" s="16"/>
      <x:c r="D52" s="16"/>
      <x:c r="E52" s="1"/>
      <x:c r="F52" s="1"/>
      <x:c r="G52" s="1"/>
      <x:c r="H52" s="1"/>
    </x:row>
    <x:row r="53" ht="25" customHeight="1">
      <x:c r="A53" s="16"/>
      <x:c r="B53" s="16"/>
      <x:c r="C53" s="16"/>
      <x:c r="D53" s="16"/>
      <x:c r="E53" s="1"/>
      <x:c r="F53" s="1"/>
      <x:c r="G53" s="1"/>
      <x:c r="H53" s="1"/>
    </x:row>
    <x:row r="54" ht="25" customHeight="1">
      <x:c r="A54" s="16"/>
      <x:c r="B54" s="16"/>
      <x:c r="C54" s="16"/>
      <x:c r="D54" s="16"/>
      <x:c r="E54" s="1"/>
      <x:c r="F54" s="1"/>
      <x:c r="G54" s="1"/>
      <x:c r="H54" s="1"/>
    </x:row>
    <x:row r="55" ht="25" customHeight="1">
      <x:c r="A55" s="16"/>
      <x:c r="B55" s="16"/>
      <x:c r="C55" s="16"/>
      <x:c r="D55" s="16"/>
      <x:c r="E55" s="1"/>
      <x:c r="F55" s="1"/>
      <x:c r="G55" s="1"/>
      <x:c r="H55" s="1"/>
    </x:row>
    <x:row r="56" ht="25" customHeight="1">
      <x:c r="A56" s="16"/>
      <x:c r="B56" s="16"/>
      <x:c r="C56" s="16"/>
      <x:c r="D56" s="16"/>
      <x:c r="E56" s="1"/>
      <x:c r="F56" s="1"/>
      <x:c r="G56" s="1"/>
      <x:c r="H56" s="1"/>
    </x:row>
    <x:row r="57" ht="25" customHeight="1">
      <x:c r="A57" s="16"/>
      <x:c r="B57" s="16"/>
      <x:c r="C57" s="16"/>
      <x:c r="D57" s="16"/>
      <x:c r="E57" s="1"/>
      <x:c r="F57" s="1"/>
      <x:c r="G57" s="1"/>
      <x:c r="H57" s="1"/>
    </x:row>
    <x:row r="58" ht="25" customHeight="1">
      <x:c r="A58" s="16"/>
      <x:c r="B58" s="16"/>
      <x:c r="C58" s="16"/>
      <x:c r="D58" s="16"/>
      <x:c r="E58" s="1"/>
      <x:c r="F58" s="1"/>
      <x:c r="G58" s="1"/>
      <x:c r="H58" s="1"/>
    </x:row>
    <x:row r="59" ht="25" customHeight="1">
      <x:c r="A59" s="16"/>
      <x:c r="B59" s="16"/>
      <x:c r="C59" s="16"/>
      <x:c r="D59" s="16"/>
      <x:c r="E59" s="1"/>
      <x:c r="F59" s="1"/>
      <x:c r="G59" s="1"/>
      <x:c r="H59" s="1"/>
    </x:row>
    <x:row r="60" ht="25" customHeight="1">
      <x:c r="A60" s="16"/>
      <x:c r="B60" s="16"/>
      <x:c r="C60" s="16"/>
      <x:c r="D60" s="16"/>
      <x:c r="E60" s="1"/>
      <x:c r="F60" s="1"/>
      <x:c r="G60" s="1"/>
      <x:c r="H60" s="1"/>
    </x:row>
    <x:row r="61" ht="25" customHeight="1">
      <x:c r="A61" s="16"/>
      <x:c r="B61" s="16"/>
      <x:c r="C61" s="16"/>
      <x:c r="D61" s="16"/>
      <x:c r="E61" s="1"/>
      <x:c r="F61" s="1"/>
      <x:c r="G61" s="1"/>
      <x:c r="H61" s="1"/>
    </x:row>
    <x:row r="62" ht="25" customHeight="1">
      <x:c r="A62" s="16"/>
      <x:c r="B62" s="16"/>
      <x:c r="C62" s="16"/>
      <x:c r="D62" s="16"/>
      <x:c r="E62" s="1"/>
      <x:c r="F62" s="1"/>
      <x:c r="G62" s="1"/>
      <x:c r="H62" s="1"/>
    </x:row>
    <x:row r="63" ht="25" customHeight="1">
      <x:c r="A63" s="16"/>
      <x:c r="B63" s="16"/>
      <x:c r="C63" s="16"/>
      <x:c r="D63" s="16"/>
      <x:c r="E63" s="1"/>
      <x:c r="F63" s="1"/>
      <x:c r="G63" s="1"/>
      <x:c r="H63" s="1"/>
    </x:row>
    <x:row r="64" ht="25" customHeight="1">
      <x:c r="A64" s="16"/>
      <x:c r="B64" s="16"/>
      <x:c r="C64" s="16"/>
      <x:c r="D64" s="16"/>
      <x:c r="E64" s="1"/>
      <x:c r="F64" s="1"/>
      <x:c r="G64" s="1"/>
      <x:c r="H64" s="1"/>
    </x:row>
    <x:row r="65" ht="25" customHeight="1">
      <x:c r="A65" s="16"/>
      <x:c r="B65" s="16"/>
      <x:c r="C65" s="16"/>
      <x:c r="D65" s="16"/>
      <x:c r="E65" s="1"/>
      <x:c r="F65" s="1"/>
      <x:c r="G65" s="1"/>
      <x:c r="H65" s="1"/>
    </x:row>
  </x:sheetData>
  <x:mergeCells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2" hidden="0" customWidth="1"/>
  </x:cols>
  <x:sheetData>
    <x:row r="1" ht="25" customHeight="1">
      <x:c r="A1" s="16"/>
      <x:c r="B1" s="16"/>
      <x:c r="C1" s="16"/>
      <x:c r="D1" s="16"/>
      <x:c r="E1" s="1"/>
      <x:c r="F1" s="1"/>
      <x:c r="G1" s="1"/>
      <x:c r="H1" s="1"/>
    </x:row>
    <x:row r="2" ht="25" customHeight="1">
      <x:c r="A2" s="17" t="str">
        <x:v>Пилот: протокол и критерии</x:v>
      </x:c>
      <x:c r="B2" s="16"/>
      <x:c r="C2" s="16"/>
      <x:c r="D2" s="16"/>
      <x:c r="E2" s="1"/>
      <x:c r="F2" s="1"/>
      <x:c r="G2" s="1"/>
      <x:c r="H2" s="1"/>
    </x:row>
    <x:row r="3" ht="25" customHeight="1">
      <x:c r="A3" s="16"/>
      <x:c r="B3" s="16"/>
      <x:c r="C3" s="16"/>
      <x:c r="D3" s="16"/>
      <x:c r="E3" s="1"/>
      <x:c r="F3" s="1"/>
      <x:c r="G3" s="1"/>
      <x:c r="H3" s="1"/>
    </x:row>
    <x:row r="4" ht="25" customHeight="1">
      <x:c r="A4" s="16"/>
      <x:c r="B4" s="16"/>
      <x:c r="C4" s="16"/>
      <x:c r="D4" s="16"/>
      <x:c r="E4" s="1"/>
      <x:c r="F4" s="1"/>
      <x:c r="G4" s="1"/>
      <x:c r="H4" s="1"/>
    </x:row>
    <x:row r="5" ht="25" customHeight="1">
      <x:c r="A5" s="18" t="str">
        <x:v>Этап</x:v>
      </x:c>
      <x:c r="B5" s="18" t="str">
        <x:v>Действие</x:v>
      </x:c>
      <x:c r="C5" s="18" t="str">
        <x:v>Результат</x:v>
      </x:c>
      <x:c r="D5" s="18" t="str">
        <x:v>Статус</x:v>
      </x:c>
      <x:c r="E5" s="1"/>
      <x:c r="F5" s="1"/>
      <x:c r="G5" s="1"/>
      <x:c r="H5" s="1"/>
    </x:row>
    <x:row r="6" ht="48" customHeight="1">
      <x:c r="A6" s="27" t="str">
        <x:v>Подготовка</x:v>
      </x:c>
      <x:c r="B6" s="27" t="str">
        <x:v>Владелец процесса, профиль, данные</x:v>
      </x:c>
      <x:c r="C6" s="27" t="str">
        <x:v>Разрешённый набор обращений</x:v>
      </x:c>
      <x:c r="D6" s="27" t="str">
        <x:v>План</x:v>
      </x:c>
      <x:c r="E6" s="1"/>
      <x:c r="F6" s="1"/>
      <x:c r="G6" s="1"/>
      <x:c r="H6" s="1"/>
    </x:row>
    <x:row r="7" ht="48" customHeight="1">
      <x:c r="A7" s="27" t="str">
        <x:v>Эталон</x:v>
      </x:c>
      <x:c r="B7" s="27" t="str">
        <x:v>Независимая разметка экспертом</x:v>
      </x:c>
      <x:c r="C7" s="27" t="str">
        <x:v>Правильные поля и замечания</x:v>
      </x:c>
      <x:c r="D7" s="27" t="str">
        <x:v>План</x:v>
      </x:c>
      <x:c r="E7" s="1"/>
      <x:c r="F7" s="1"/>
      <x:c r="G7" s="1"/>
      <x:c r="H7" s="1"/>
    </x:row>
    <x:row r="8" ht="48" customHeight="1">
      <x:c r="A8" s="27" t="str">
        <x:v>Сравнение</x:v>
      </x:c>
      <x:c r="B8" s="27" t="str">
        <x:v>Вручную и с Trace, смена порядка</x:v>
      </x:c>
      <x:c r="C8" s="27" t="str">
        <x:v>Активные минуты + ошибки</x:v>
      </x:c>
      <x:c r="D8" s="27" t="str">
        <x:v>План</x:v>
      </x:c>
      <x:c r="E8" s="1"/>
      <x:c r="F8" s="1"/>
      <x:c r="G8" s="1"/>
      <x:c r="H8" s="1"/>
    </x:row>
    <x:row r="9" ht="48" customHeight="1">
      <x:c r="A9" s="27" t="str">
        <x:v>Оценка</x:v>
      </x:c>
      <x:c r="B9" s="27" t="str">
        <x:v>Среднее время для экономики</x:v>
      </x:c>
      <x:c r="C9" s="27" t="str">
        <x:v>Точность, полнота, ручные правки</x:v>
      </x:c>
      <x:c r="D9" s="27" t="str">
        <x:v>План</x:v>
      </x:c>
      <x:c r="E9" s="1"/>
      <x:c r="F9" s="1"/>
      <x:c r="G9" s="1"/>
      <x:c r="H9" s="1"/>
    </x:row>
    <x:row r="10" ht="48" customHeight="1">
      <x:c r="A10" s="27" t="str">
        <x:v>Решение</x:v>
      </x:c>
      <x:c r="B10" s="27" t="str">
        <x:v>Согласовать пороги до начала</x:v>
      </x:c>
      <x:c r="C10" s="27" t="str">
        <x:v>Продолжить, изменить или закрыть</x:v>
      </x:c>
      <x:c r="D10" s="27" t="str">
        <x:v>План</x:v>
      </x:c>
      <x:c r="E10" s="1"/>
      <x:c r="F10" s="1"/>
      <x:c r="G10" s="1"/>
      <x:c r="H10" s="1"/>
    </x:row>
    <x:row r="11" ht="48" customHeight="1">
      <x:c r="A11" s="27" t="str">
        <x:v>Расширение</x:v>
      </x:c>
      <x:c r="B11" s="27" t="str">
        <x:v>Проверить новый профиль отдельно</x:v>
      </x:c>
      <x:c r="C11" s="27" t="str">
        <x:v>Новый эталон и смета</x:v>
      </x:c>
      <x:c r="D11" s="27" t="str">
        <x:v>После успешного пилота</x:v>
      </x:c>
      <x:c r="E11" s="1"/>
      <x:c r="F11" s="1"/>
      <x:c r="G11" s="1"/>
      <x:c r="H11" s="1"/>
    </x:row>
    <x:row r="12" ht="25" customHeight="1">
      <x:c r="A12" s="27"/>
      <x:c r="B12" s="27"/>
      <x:c r="C12" s="27"/>
      <x:c r="D12" s="27"/>
      <x:c r="E12" s="1"/>
      <x:c r="F12" s="1"/>
      <x:c r="G12" s="1"/>
      <x:c r="H12" s="1"/>
    </x:row>
    <x:row r="13" ht="25" customHeight="1">
      <x:c r="A13" s="27"/>
      <x:c r="B13" s="27"/>
      <x:c r="C13" s="27"/>
      <x:c r="D13" s="27"/>
      <x:c r="E13" s="1"/>
      <x:c r="F13" s="1"/>
      <x:c r="G13" s="1"/>
      <x:c r="H13" s="1"/>
    </x:row>
    <x:row r="14" ht="56" customHeight="1">
      <x:c r="A14" s="29" t="str">
        <x:v>Метрика</x:v>
      </x:c>
      <x:c r="B14" s="29" t="str">
        <x:v>Определение</x:v>
      </x:c>
      <x:c r="C14" s="29" t="str">
        <x:v>Направление</x:v>
      </x:c>
      <x:c r="D14" s="29" t="str">
        <x:v>Ограничение</x:v>
      </x:c>
      <x:c r="E14" s="1"/>
      <x:c r="F14" s="1"/>
      <x:c r="G14" s="1"/>
      <x:c r="H14" s="1"/>
    </x:row>
    <x:row r="15" ht="56" customHeight="1">
      <x:c r="A15" s="27" t="str">
        <x:v>Активное время</x:v>
      </x:c>
      <x:c r="B15" s="27" t="str">
        <x:v>Вся работа, включая проверку OCR</x:v>
      </x:c>
      <x:c r="C15" s="27" t="str">
        <x:v>Снижение</x:v>
      </x:c>
      <x:c r="D15" s="27" t="str">
        <x:v>Без времени ожидания клиента</x:v>
      </x:c>
      <x:c r="E15" s="1"/>
      <x:c r="F15" s="1"/>
      <x:c r="G15" s="1"/>
      <x:c r="H15" s="1"/>
    </x:row>
    <x:row r="16" ht="56" customHeight="1">
      <x:c r="A16" s="27" t="str">
        <x:v>Качество замечаний</x:v>
      </x:c>
      <x:c r="B16" s="27" t="str">
        <x:v>Верные / все выданные и найденные / все эталонные</x:v>
      </x:c>
      <x:c r="C16" s="27" t="str">
        <x:v>Рост</x:v>
      </x:c>
      <x:c r="D16" s="27" t="str">
        <x:v>Измеряется на размеченных кейсах</x:v>
      </x:c>
      <x:c r="E16" s="1"/>
      <x:c r="F16" s="1"/>
      <x:c r="G16" s="1"/>
      <x:c r="H16" s="1"/>
    </x:row>
    <x:row r="17" ht="56" customHeight="1">
      <x:c r="A17" s="27" t="str">
        <x:v>Повторные уточнения</x:v>
      </x:c>
      <x:c r="B17" s="27" t="str">
        <x:v>Кейсы с повторным запросом / все кейсы</x:v>
      </x:c>
      <x:c r="C17" s="27" t="str">
        <x:v>Снижение</x:v>
      </x:c>
      <x:c r="D17" s="27" t="str">
        <x:v>Не приписывать весь эффект Trace</x:v>
      </x:c>
      <x:c r="E17" s="1"/>
      <x:c r="F17" s="1"/>
      <x:c r="G17" s="1"/>
      <x:c r="H17" s="1"/>
    </x:row>
    <x:row r="18" ht="56" customHeight="1">
      <x:c r="A18" s="27" t="str">
        <x:v>Применимость</x:v>
      </x:c>
      <x:c r="B18" s="27" t="str">
        <x:v>Подходящие профилю / весь поток</x:v>
      </x:c>
      <x:c r="C18" s="27" t="str">
        <x:v>Измерение</x:v>
      </x:c>
      <x:c r="D18" s="27" t="str">
        <x:v>Не назначать долю без выборки</x:v>
      </x:c>
      <x:c r="E18" s="1"/>
      <x:c r="F18" s="1"/>
      <x:c r="G18" s="1"/>
      <x:c r="H18" s="1"/>
    </x:row>
    <x:row r="19" ht="25" customHeight="1">
      <x:c r="A19" s="16"/>
      <x:c r="B19" s="16"/>
      <x:c r="C19" s="16"/>
      <x:c r="D19" s="16"/>
      <x:c r="E19" s="1"/>
      <x:c r="F19" s="1"/>
      <x:c r="G19" s="1"/>
      <x:c r="H19" s="1"/>
    </x:row>
    <x:row r="20" ht="25" customHeight="1">
      <x:c r="A20" s="16"/>
      <x:c r="B20" s="16"/>
      <x:c r="C20" s="16"/>
      <x:c r="D20" s="16"/>
      <x:c r="E20" s="1"/>
      <x:c r="F20" s="1"/>
      <x:c r="G20" s="1"/>
      <x:c r="H20" s="1"/>
    </x:row>
    <x:row r="21" ht="25" customHeight="1">
      <x:c r="A21" s="16"/>
      <x:c r="B21" s="16"/>
      <x:c r="C21" s="16"/>
      <x:c r="D21" s="16"/>
      <x:c r="E21" s="1"/>
      <x:c r="F21" s="1"/>
      <x:c r="G21" s="1"/>
      <x:c r="H21" s="1"/>
    </x:row>
    <x:row r="22" ht="25" customHeight="1">
      <x:c r="A22" s="16"/>
      <x:c r="B22" s="16"/>
      <x:c r="C22" s="16"/>
      <x:c r="D22" s="16"/>
      <x:c r="E22" s="1"/>
      <x:c r="F22" s="1"/>
      <x:c r="G22" s="1"/>
      <x:c r="H22" s="1"/>
    </x:row>
    <x:row r="23" ht="25" customHeight="1">
      <x:c r="A23" s="16"/>
      <x:c r="B23" s="16"/>
      <x:c r="C23" s="16"/>
      <x:c r="D23" s="16"/>
      <x:c r="E23" s="1"/>
      <x:c r="F23" s="1"/>
      <x:c r="G23" s="1"/>
      <x:c r="H23" s="1"/>
    </x:row>
    <x:row r="24" ht="25" customHeight="1">
      <x:c r="A24" s="16"/>
      <x:c r="B24" s="16"/>
      <x:c r="C24" s="16"/>
      <x:c r="D24" s="16"/>
      <x:c r="E24" s="1"/>
      <x:c r="F24" s="1"/>
      <x:c r="G24" s="1"/>
      <x:c r="H24" s="1"/>
    </x:row>
    <x:row r="25" ht="25" customHeight="1">
      <x:c r="A25" s="16"/>
      <x:c r="B25" s="16"/>
      <x:c r="C25" s="16"/>
      <x:c r="D25" s="16"/>
      <x:c r="E25" s="1"/>
      <x:c r="F25" s="1"/>
      <x:c r="G25" s="1"/>
      <x:c r="H25" s="1"/>
    </x:row>
    <x:row r="26" ht="25" customHeight="1">
      <x:c r="A26" s="16"/>
      <x:c r="B26" s="16"/>
      <x:c r="C26" s="16"/>
      <x:c r="D26" s="16"/>
      <x:c r="E26" s="1"/>
      <x:c r="F26" s="1"/>
      <x:c r="G26" s="1"/>
      <x:c r="H26" s="1"/>
    </x:row>
    <x:row r="27" ht="25" customHeight="1">
      <x:c r="A27" s="16"/>
      <x:c r="B27" s="16"/>
      <x:c r="C27" s="16"/>
      <x:c r="D27" s="16"/>
      <x:c r="E27" s="1"/>
      <x:c r="F27" s="1"/>
      <x:c r="G27" s="1"/>
      <x:c r="H27" s="1"/>
    </x:row>
    <x:row r="28" ht="25" customHeight="1">
      <x:c r="A28" s="16"/>
      <x:c r="B28" s="16"/>
      <x:c r="C28" s="16"/>
      <x:c r="D28" s="16"/>
      <x:c r="E28" s="1"/>
      <x:c r="F28" s="1"/>
      <x:c r="G28" s="1"/>
      <x:c r="H28" s="1"/>
    </x:row>
    <x:row r="29" ht="25" customHeight="1">
      <x:c r="A29" s="16"/>
      <x:c r="B29" s="16"/>
      <x:c r="C29" s="16"/>
      <x:c r="D29" s="16"/>
      <x:c r="E29" s="1"/>
      <x:c r="F29" s="1"/>
      <x:c r="G29" s="1"/>
      <x:c r="H29" s="1"/>
    </x:row>
    <x:row r="30" ht="25" customHeight="1">
      <x:c r="A30" s="16"/>
      <x:c r="B30" s="16"/>
      <x:c r="C30" s="16"/>
      <x:c r="D30" s="16"/>
      <x:c r="E30" s="1"/>
      <x:c r="F30" s="1"/>
      <x:c r="G30" s="1"/>
      <x:c r="H30" s="1"/>
    </x:row>
    <x:row r="31" ht="25" customHeight="1">
      <x:c r="A31" s="16"/>
      <x:c r="B31" s="16"/>
      <x:c r="C31" s="16"/>
      <x:c r="D31" s="16"/>
      <x:c r="E31" s="1"/>
      <x:c r="F31" s="1"/>
      <x:c r="G31" s="1"/>
      <x:c r="H31" s="1"/>
    </x:row>
    <x:row r="32" ht="25" customHeight="1">
      <x:c r="A32" s="16"/>
      <x:c r="B32" s="16"/>
      <x:c r="C32" s="16"/>
      <x:c r="D32" s="16"/>
      <x:c r="E32" s="1"/>
      <x:c r="F32" s="1"/>
      <x:c r="G32" s="1"/>
      <x:c r="H32" s="1"/>
    </x:row>
    <x:row r="33" ht="25" customHeight="1">
      <x:c r="A33" s="16"/>
      <x:c r="B33" s="16"/>
      <x:c r="C33" s="16"/>
      <x:c r="D33" s="16"/>
      <x:c r="E33" s="1"/>
      <x:c r="F33" s="1"/>
      <x:c r="G33" s="1"/>
      <x:c r="H33" s="1"/>
    </x:row>
    <x:row r="34" ht="25" customHeight="1">
      <x:c r="A34" s="16"/>
      <x:c r="B34" s="16"/>
      <x:c r="C34" s="16"/>
      <x:c r="D34" s="16"/>
      <x:c r="E34" s="1"/>
      <x:c r="F34" s="1"/>
      <x:c r="G34" s="1"/>
      <x:c r="H34" s="1"/>
    </x:row>
    <x:row r="35" ht="25" customHeight="1">
      <x:c r="A35" s="16"/>
      <x:c r="B35" s="16"/>
      <x:c r="C35" s="16"/>
      <x:c r="D35" s="16"/>
      <x:c r="E35" s="1"/>
      <x:c r="F35" s="1"/>
      <x:c r="G35" s="1"/>
      <x:c r="H35" s="1"/>
    </x:row>
    <x:row r="36" ht="25" customHeight="1">
      <x:c r="A36" s="16"/>
      <x:c r="B36" s="16"/>
      <x:c r="C36" s="16"/>
      <x:c r="D36" s="16"/>
      <x:c r="E36" s="1"/>
      <x:c r="F36" s="1"/>
      <x:c r="G36" s="1"/>
      <x:c r="H36" s="1"/>
    </x:row>
    <x:row r="37" ht="25" customHeight="1">
      <x:c r="A37" s="16"/>
      <x:c r="B37" s="16"/>
      <x:c r="C37" s="16"/>
      <x:c r="D37" s="16"/>
      <x:c r="E37" s="1"/>
      <x:c r="F37" s="1"/>
      <x:c r="G37" s="1"/>
      <x:c r="H37" s="1"/>
    </x:row>
    <x:row r="38" ht="25" customHeight="1">
      <x:c r="A38" s="16"/>
      <x:c r="B38" s="16"/>
      <x:c r="C38" s="16"/>
      <x:c r="D38" s="16"/>
      <x:c r="E38" s="1"/>
      <x:c r="F38" s="1"/>
      <x:c r="G38" s="1"/>
      <x:c r="H38" s="1"/>
    </x:row>
    <x:row r="39" ht="25" customHeight="1">
      <x:c r="A39" s="16"/>
      <x:c r="B39" s="16"/>
      <x:c r="C39" s="16"/>
      <x:c r="D39" s="16"/>
      <x:c r="E39" s="1"/>
      <x:c r="F39" s="1"/>
      <x:c r="G39" s="1"/>
      <x:c r="H39" s="1"/>
    </x:row>
    <x:row r="40" ht="25" customHeight="1">
      <x:c r="A40" s="16"/>
      <x:c r="B40" s="16"/>
      <x:c r="C40" s="16"/>
      <x:c r="D40" s="16"/>
      <x:c r="E40" s="1"/>
      <x:c r="F40" s="1"/>
      <x:c r="G40" s="1"/>
      <x:c r="H40" s="1"/>
    </x:row>
    <x:row r="41" ht="25" customHeight="1">
      <x:c r="A41" s="16"/>
      <x:c r="B41" s="16"/>
      <x:c r="C41" s="16"/>
      <x:c r="D41" s="16"/>
      <x:c r="E41" s="1"/>
      <x:c r="F41" s="1"/>
      <x:c r="G41" s="1"/>
      <x:c r="H41" s="1"/>
    </x:row>
    <x:row r="42" ht="25" customHeight="1">
      <x:c r="A42" s="16"/>
      <x:c r="B42" s="16"/>
      <x:c r="C42" s="16"/>
      <x:c r="D42" s="16"/>
      <x:c r="E42" s="1"/>
      <x:c r="F42" s="1"/>
      <x:c r="G42" s="1"/>
      <x:c r="H42" s="1"/>
    </x:row>
    <x:row r="43" ht="25" customHeight="1">
      <x:c r="A43" s="16"/>
      <x:c r="B43" s="16"/>
      <x:c r="C43" s="16"/>
      <x:c r="D43" s="16"/>
      <x:c r="E43" s="1"/>
      <x:c r="F43" s="1"/>
      <x:c r="G43" s="1"/>
      <x:c r="H43" s="1"/>
    </x:row>
    <x:row r="44" ht="25" customHeight="1">
      <x:c r="A44" s="16"/>
      <x:c r="B44" s="16"/>
      <x:c r="C44" s="16"/>
      <x:c r="D44" s="16"/>
      <x:c r="E44" s="1"/>
      <x:c r="F44" s="1"/>
      <x:c r="G44" s="1"/>
      <x:c r="H44" s="1"/>
    </x:row>
    <x:row r="45" ht="25" customHeight="1">
      <x:c r="A45" s="16"/>
      <x:c r="B45" s="16"/>
      <x:c r="C45" s="16"/>
      <x:c r="D45" s="16"/>
      <x:c r="E45" s="1"/>
      <x:c r="F45" s="1"/>
      <x:c r="G45" s="1"/>
      <x:c r="H45" s="1"/>
    </x:row>
    <x:row r="46" ht="25" customHeight="1">
      <x:c r="A46" s="16"/>
      <x:c r="B46" s="16"/>
      <x:c r="C46" s="16"/>
      <x:c r="D46" s="16"/>
      <x:c r="E46" s="1"/>
      <x:c r="F46" s="1"/>
      <x:c r="G46" s="1"/>
      <x:c r="H46" s="1"/>
    </x:row>
    <x:row r="47" ht="25" customHeight="1">
      <x:c r="A47" s="16"/>
      <x:c r="B47" s="16"/>
      <x:c r="C47" s="16"/>
      <x:c r="D47" s="16"/>
      <x:c r="E47" s="1"/>
      <x:c r="F47" s="1"/>
      <x:c r="G47" s="1"/>
      <x:c r="H47" s="1"/>
    </x:row>
    <x:row r="48" ht="25" customHeight="1">
      <x:c r="A48" s="16"/>
      <x:c r="B48" s="16"/>
      <x:c r="C48" s="16"/>
      <x:c r="D48" s="16"/>
      <x:c r="E48" s="1"/>
      <x:c r="F48" s="1"/>
      <x:c r="G48" s="1"/>
      <x:c r="H48" s="1"/>
    </x:row>
    <x:row r="49" ht="25" customHeight="1">
      <x:c r="A49" s="16"/>
      <x:c r="B49" s="16"/>
      <x:c r="C49" s="16"/>
      <x:c r="D49" s="16"/>
      <x:c r="E49" s="1"/>
      <x:c r="F49" s="1"/>
      <x:c r="G49" s="1"/>
      <x:c r="H49" s="1"/>
    </x:row>
    <x:row r="50" ht="25" customHeight="1">
      <x:c r="A50" s="16"/>
      <x:c r="B50" s="16"/>
      <x:c r="C50" s="16"/>
      <x:c r="D50" s="16"/>
      <x:c r="E50" s="1"/>
      <x:c r="F50" s="1"/>
      <x:c r="G50" s="1"/>
      <x:c r="H50" s="1"/>
    </x:row>
    <x:row r="51" ht="25" customHeight="1">
      <x:c r="A51" s="16"/>
      <x:c r="B51" s="16"/>
      <x:c r="C51" s="16"/>
      <x:c r="D51" s="16"/>
      <x:c r="E51" s="1"/>
      <x:c r="F51" s="1"/>
      <x:c r="G51" s="1"/>
      <x:c r="H51" s="1"/>
    </x:row>
    <x:row r="52" ht="25" customHeight="1">
      <x:c r="A52" s="16"/>
      <x:c r="B52" s="16"/>
      <x:c r="C52" s="16"/>
      <x:c r="D52" s="16"/>
      <x:c r="E52" s="1"/>
      <x:c r="F52" s="1"/>
      <x:c r="G52" s="1"/>
      <x:c r="H52" s="1"/>
    </x:row>
    <x:row r="53" ht="25" customHeight="1">
      <x:c r="A53" s="16"/>
      <x:c r="B53" s="16"/>
      <x:c r="C53" s="16"/>
      <x:c r="D53" s="16"/>
      <x:c r="E53" s="1"/>
      <x:c r="F53" s="1"/>
      <x:c r="G53" s="1"/>
      <x:c r="H53" s="1"/>
    </x:row>
    <x:row r="54" ht="25" customHeight="1">
      <x:c r="A54" s="16"/>
      <x:c r="B54" s="16"/>
      <x:c r="C54" s="16"/>
      <x:c r="D54" s="16"/>
      <x:c r="E54" s="1"/>
      <x:c r="F54" s="1"/>
      <x:c r="G54" s="1"/>
      <x:c r="H54" s="1"/>
    </x:row>
    <x:row r="55" ht="25" customHeight="1">
      <x:c r="A55" s="16"/>
      <x:c r="B55" s="16"/>
      <x:c r="C55" s="16"/>
      <x:c r="D55" s="16"/>
      <x:c r="E55" s="1"/>
      <x:c r="F55" s="1"/>
      <x:c r="G55" s="1"/>
      <x:c r="H55" s="1"/>
    </x:row>
    <x:row r="56" ht="25" customHeight="1">
      <x:c r="A56" s="16"/>
      <x:c r="B56" s="16"/>
      <x:c r="C56" s="16"/>
      <x:c r="D56" s="16"/>
      <x:c r="E56" s="1"/>
      <x:c r="F56" s="1"/>
      <x:c r="G56" s="1"/>
      <x:c r="H56" s="1"/>
    </x:row>
    <x:row r="57" ht="25" customHeight="1">
      <x:c r="A57" s="16"/>
      <x:c r="B57" s="16"/>
      <x:c r="C57" s="16"/>
      <x:c r="D57" s="16"/>
      <x:c r="E57" s="1"/>
      <x:c r="F57" s="1"/>
      <x:c r="G57" s="1"/>
      <x:c r="H57" s="1"/>
    </x:row>
    <x:row r="58" ht="25" customHeight="1">
      <x:c r="A58" s="16"/>
      <x:c r="B58" s="16"/>
      <x:c r="C58" s="16"/>
      <x:c r="D58" s="16"/>
      <x:c r="E58" s="1"/>
      <x:c r="F58" s="1"/>
      <x:c r="G58" s="1"/>
      <x:c r="H58" s="1"/>
    </x:row>
    <x:row r="59" ht="25" customHeight="1">
      <x:c r="A59" s="16"/>
      <x:c r="B59" s="16"/>
      <x:c r="C59" s="16"/>
      <x:c r="D59" s="16"/>
      <x:c r="E59" s="1"/>
      <x:c r="F59" s="1"/>
      <x:c r="G59" s="1"/>
      <x:c r="H59" s="1"/>
    </x:row>
    <x:row r="60" ht="25" customHeight="1">
      <x:c r="A60" s="16"/>
      <x:c r="B60" s="16"/>
      <x:c r="C60" s="16"/>
      <x:c r="D60" s="16"/>
      <x:c r="E60" s="1"/>
      <x:c r="F60" s="1"/>
      <x:c r="G60" s="1"/>
      <x:c r="H60" s="1"/>
    </x:row>
    <x:row r="61" ht="25" customHeight="1">
      <x:c r="A61" s="16"/>
      <x:c r="B61" s="16"/>
      <x:c r="C61" s="16"/>
      <x:c r="D61" s="16"/>
      <x:c r="E61" s="1"/>
      <x:c r="F61" s="1"/>
      <x:c r="G61" s="1"/>
      <x:c r="H61" s="1"/>
    </x:row>
    <x:row r="62" ht="25" customHeight="1">
      <x:c r="A62" s="16"/>
      <x:c r="B62" s="16"/>
      <x:c r="C62" s="16"/>
      <x:c r="D62" s="16"/>
      <x:c r="E62" s="1"/>
      <x:c r="F62" s="1"/>
      <x:c r="G62" s="1"/>
      <x:c r="H62" s="1"/>
    </x:row>
    <x:row r="63" ht="25" customHeight="1">
      <x:c r="A63" s="16"/>
      <x:c r="B63" s="16"/>
      <x:c r="C63" s="16"/>
      <x:c r="D63" s="16"/>
      <x:c r="E63" s="1"/>
      <x:c r="F63" s="1"/>
      <x:c r="G63" s="1"/>
      <x:c r="H63" s="1"/>
    </x:row>
    <x:row r="64" ht="25" customHeight="1">
      <x:c r="A64" s="16"/>
      <x:c r="B64" s="16"/>
      <x:c r="C64" s="16"/>
      <x:c r="D64" s="16"/>
      <x:c r="E64" s="1"/>
      <x:c r="F64" s="1"/>
      <x:c r="G64" s="1"/>
      <x:c r="H64" s="1"/>
    </x:row>
    <x:row r="65" ht="25" customHeight="1">
      <x:c r="A65" s="16"/>
      <x:c r="B65" s="16"/>
      <x:c r="C65" s="16"/>
      <x:c r="D65" s="16"/>
      <x:c r="E65" s="1"/>
      <x:c r="F65" s="1"/>
      <x:c r="G65" s="1"/>
      <x:c r="H65" s="1"/>
    </x:row>
  </x:sheetData>
  <x:mergeCells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100" hidden="0" customWidth="1"/>
  </x:cols>
  <x:sheetData>
    <x:row r="1" ht="25" customHeight="1">
      <x:c r="A1" s="16"/>
      <x:c r="B1" s="16"/>
      <x:c r="C1" s="16"/>
      <x:c r="D1" s="16"/>
      <x:c r="E1" s="1"/>
      <x:c r="F1" s="1"/>
      <x:c r="G1" s="1"/>
      <x:c r="H1" s="1"/>
    </x:row>
    <x:row r="2" ht="25" customHeight="1">
      <x:c r="A2" s="17" t="str">
        <x:v>Источники и статус чисел</x:v>
      </x:c>
      <x:c r="B2" s="16"/>
      <x:c r="C2" s="16"/>
      <x:c r="D2" s="16"/>
      <x:c r="E2" s="1"/>
      <x:c r="F2" s="1"/>
      <x:c r="G2" s="1"/>
      <x:c r="H2" s="1"/>
    </x:row>
    <x:row r="3" ht="25" customHeight="1">
      <x:c r="A3" s="16"/>
      <x:c r="B3" s="16"/>
      <x:c r="C3" s="16"/>
      <x:c r="D3" s="16"/>
      <x:c r="E3" s="1"/>
      <x:c r="F3" s="1"/>
      <x:c r="G3" s="1"/>
      <x:c r="H3" s="1"/>
    </x:row>
    <x:row r="4" ht="25" customHeight="1">
      <x:c r="A4" s="16"/>
      <x:c r="B4" s="16"/>
      <x:c r="C4" s="16"/>
      <x:c r="D4" s="16"/>
      <x:c r="E4" s="1"/>
      <x:c r="F4" s="1"/>
      <x:c r="G4" s="1"/>
      <x:c r="H4" s="1"/>
    </x:row>
    <x:row r="5" ht="25" customHeight="1">
      <x:c r="A5" s="18" t="str">
        <x:v>ID</x:v>
      </x:c>
      <x:c r="B5" s="18" t="str">
        <x:v>Категория</x:v>
      </x:c>
      <x:c r="C5" s="18" t="str">
        <x:v>Дата проверки</x:v>
      </x:c>
      <x:c r="D5" s="18" t="str">
        <x:v>Источник</x:v>
      </x:c>
      <x:c r="E5" s="1"/>
      <x:c r="F5" s="1"/>
      <x:c r="G5" s="1"/>
      <x:c r="H5" s="1"/>
    </x:row>
    <x:row r="6" ht="58" customHeight="1">
      <x:c r="A6" s="27" t="str">
        <x:v>S1</x:v>
      </x:c>
      <x:c r="B6" s="27" t="str">
        <x:v>Официальный бриф</x:v>
      </x:c>
      <x:c r="C6" s="27" t="str">
        <x:v>22.10.2026</x:v>
      </x:c>
      <x:c r="D6" s="27" t="str">
        <x:v>https://fintechacademy.ru/task-1</x:v>
      </x:c>
      <x:c r="E6" s="1"/>
      <x:c r="F6" s="1"/>
      <x:c r="G6" s="1"/>
      <x:c r="H6" s="1"/>
    </x:row>
    <x:row r="7" ht="58" customHeight="1">
      <x:c r="A7" s="27" t="str">
        <x:v>S2</x:v>
      </x:c>
      <x:c r="B7" s="27" t="str">
        <x:v>Регулятор</x:v>
      </x:c>
      <x:c r="C7" s="27" t="str">
        <x:v>22.10.2026</x:v>
      </x:c>
      <x:c r="D7" s="27" t="str">
        <x:v>https://www.cbr.ru/protection_rights/rassmotrenie-obrascheniy-potrebiteley-finansovykh-uslug/</x:v>
      </x:c>
      <x:c r="E7" s="1"/>
      <x:c r="F7" s="1"/>
      <x:c r="G7" s="1"/>
      <x:c r="H7" s="1"/>
    </x:row>
    <x:row r="8" ht="58" customHeight="1">
      <x:c r="A8" s="27" t="str">
        <x:v>S3</x:v>
      </x:c>
      <x:c r="B8" s="27" t="str">
        <x:v>Производитель</x:v>
      </x:c>
      <x:c r="C8" s="27" t="str">
        <x:v>22.10.2026</x:v>
      </x:c>
      <x:c r="D8" s="27" t="str">
        <x:v>https://v8.1c.ru/its/services/1c-sverka/</x:v>
      </x:c>
      <x:c r="E8" s="1"/>
      <x:c r="F8" s="1"/>
      <x:c r="G8" s="1"/>
      <x:c r="H8" s="1"/>
    </x:row>
    <x:row r="9" ht="58" customHeight="1">
      <x:c r="A9" s="27" t="str">
        <x:v>S4</x:v>
      </x:c>
      <x:c r="B9" s="27" t="str">
        <x:v>Производитель</x:v>
      </x:c>
      <x:c r="C9" s="27" t="str">
        <x:v>22.10.2026</x:v>
      </x:c>
      <x:c r="D9" s="27" t="str">
        <x:v>https://club.directum.ru/post/345788</x:v>
      </x:c>
      <x:c r="E9" s="1"/>
      <x:c r="F9" s="1"/>
      <x:c r="G9" s="1"/>
      <x:c r="H9" s="1"/>
    </x:row>
    <x:row r="10" ht="58" customHeight="1">
      <x:c r="A10" s="27" t="str">
        <x:v>S5</x:v>
      </x:c>
      <x:c r="B10" s="27" t="str">
        <x:v>Производитель</x:v>
      </x:c>
      <x:c r="C10" s="27" t="str">
        <x:v>22.10.2026</x:v>
      </x:c>
      <x:c r="D10" s="27" t="str">
        <x:v>https://smartengines.ru/news/bezoblachnaya-pogoda-na-sklade-smart-document-engine-3-6-raspoznaet-pervichnye-dokumenty-bez-interneta-i-infrastrukturnoj-zavisimosti/</x:v>
      </x:c>
      <x:c r="E10" s="1"/>
      <x:c r="F10" s="1"/>
      <x:c r="G10" s="1"/>
      <x:c r="H10" s="1"/>
    </x:row>
    <x:row r="11" ht="58" customHeight="1">
      <x:c r="A11" s="27" t="str">
        <x:v>S6</x:v>
      </x:c>
      <x:c r="B11" s="27" t="str">
        <x:v>Исходный код команды</x:v>
      </x:c>
      <x:c r="C11" s="27" t="str">
        <x:v>22.10.2026</x:v>
      </x:c>
      <x:c r="D11" s="27" t="str">
        <x:v>https://github.com/anton-nikitin21/trace-bank</x:v>
      </x:c>
      <x:c r="E11" s="1"/>
      <x:c r="F11" s="1"/>
      <x:c r="G11" s="1"/>
      <x:c r="H11" s="1"/>
    </x:row>
    <x:row r="12" ht="58" customHeight="1">
      <x:c r="A12" s="27" t="str">
        <x:v>S7</x:v>
      </x:c>
      <x:c r="B12" s="27" t="str">
        <x:v>Материалы пользователя</x:v>
      </x:c>
      <x:c r="C12" s="27" t="str">
        <x:v>22.10.2026</x:v>
      </x:c>
      <x:c r="D12" s="27" t="str">
        <x:v>https://wecloud.events/site/fa-2010</x:v>
      </x:c>
      <x:c r="E12" s="1"/>
      <x:c r="F12" s="1"/>
      <x:c r="G12" s="1"/>
      <x:c r="H12" s="1"/>
    </x:row>
    <x:row r="13" ht="58" customHeight="1">
      <x:c r="A13" s="27" t="str">
        <x:v>S8</x:v>
      </x:c>
      <x:c r="B13" s="27" t="str">
        <x:v>Официальный календарь</x:v>
      </x:c>
      <x:c r="C13" s="27" t="str">
        <x:v>22.10.2026</x:v>
      </x:c>
      <x:c r="D13" s="27" t="str">
        <x:v>https://fintechacademy.ru/</x:v>
      </x:c>
      <x:c r="E13" s="1"/>
      <x:c r="F13" s="1"/>
      <x:c r="G13" s="1"/>
      <x:c r="H13" s="1"/>
    </x:row>
    <x:row r="14" ht="25" customHeight="1">
      <x:c r="A14" s="16"/>
      <x:c r="B14" s="16"/>
      <x:c r="C14" s="16"/>
      <x:c r="D14" s="16"/>
      <x:c r="E14" s="1"/>
      <x:c r="F14" s="1"/>
      <x:c r="G14" s="1"/>
      <x:c r="H14" s="1"/>
    </x:row>
    <x:row r="15" ht="25" customHeight="1">
      <x:c r="A15" s="16"/>
      <x:c r="B15" s="16"/>
      <x:c r="C15" s="16"/>
      <x:c r="D15" s="16"/>
      <x:c r="E15" s="1"/>
      <x:c r="F15" s="1"/>
      <x:c r="G15" s="1"/>
      <x:c r="H15" s="1"/>
    </x:row>
    <x:row r="16" ht="25" customHeight="1">
      <x:c r="A16" s="16"/>
      <x:c r="B16" s="16"/>
      <x:c r="C16" s="16"/>
      <x:c r="D16" s="16"/>
      <x:c r="E16" s="1"/>
      <x:c r="F16" s="1"/>
      <x:c r="G16" s="1"/>
      <x:c r="H16" s="1"/>
    </x:row>
    <x:row r="17" ht="25" customHeight="1">
      <x:c r="A17" s="16"/>
      <x:c r="B17" s="16"/>
      <x:c r="C17" s="16"/>
      <x:c r="D17" s="16"/>
      <x:c r="E17" s="1"/>
      <x:c r="F17" s="1"/>
      <x:c r="G17" s="1"/>
      <x:c r="H17" s="1"/>
    </x:row>
    <x:row r="18" ht="25" customHeight="1">
      <x:c r="A18" s="16"/>
      <x:c r="B18" s="16"/>
      <x:c r="C18" s="16"/>
      <x:c r="D18" s="16"/>
      <x:c r="E18" s="1"/>
      <x:c r="F18" s="1"/>
      <x:c r="G18" s="1"/>
      <x:c r="H18" s="1"/>
    </x:row>
    <x:row r="19" ht="25" customHeight="1">
      <x:c r="A19" s="16"/>
      <x:c r="B19" s="16"/>
      <x:c r="C19" s="16"/>
      <x:c r="D19" s="16"/>
      <x:c r="E19" s="1"/>
      <x:c r="F19" s="1"/>
      <x:c r="G19" s="1"/>
      <x:c r="H19" s="1"/>
    </x:row>
    <x:row r="20" ht="25" customHeight="1">
      <x:c r="A20" s="16"/>
      <x:c r="B20" s="16"/>
      <x:c r="C20" s="16"/>
      <x:c r="D20" s="16"/>
      <x:c r="E20" s="1"/>
      <x:c r="F20" s="1"/>
      <x:c r="G20" s="1"/>
      <x:c r="H20" s="1"/>
    </x:row>
    <x:row r="21" ht="25" customHeight="1">
      <x:c r="A21" s="16"/>
      <x:c r="B21" s="16"/>
      <x:c r="C21" s="16"/>
      <x:c r="D21" s="16"/>
      <x:c r="E21" s="1"/>
      <x:c r="F21" s="1"/>
      <x:c r="G21" s="1"/>
      <x:c r="H21" s="1"/>
    </x:row>
    <x:row r="22" ht="25" customHeight="1">
      <x:c r="A22" s="16"/>
      <x:c r="B22" s="16"/>
      <x:c r="C22" s="16"/>
      <x:c r="D22" s="16"/>
      <x:c r="E22" s="1"/>
      <x:c r="F22" s="1"/>
      <x:c r="G22" s="1"/>
      <x:c r="H22" s="1"/>
    </x:row>
    <x:row r="23" ht="25" customHeight="1">
      <x:c r="A23" s="16"/>
      <x:c r="B23" s="16"/>
      <x:c r="C23" s="16"/>
      <x:c r="D23" s="16"/>
      <x:c r="E23" s="1"/>
      <x:c r="F23" s="1"/>
      <x:c r="G23" s="1"/>
      <x:c r="H23" s="1"/>
    </x:row>
    <x:row r="24" ht="25" customHeight="1">
      <x:c r="A24" s="16"/>
      <x:c r="B24" s="16"/>
      <x:c r="C24" s="16"/>
      <x:c r="D24" s="16"/>
      <x:c r="E24" s="1"/>
      <x:c r="F24" s="1"/>
      <x:c r="G24" s="1"/>
      <x:c r="H24" s="1"/>
    </x:row>
    <x:row r="25" ht="25" customHeight="1">
      <x:c r="A25" s="16"/>
      <x:c r="B25" s="16"/>
      <x:c r="C25" s="16"/>
      <x:c r="D25" s="16"/>
      <x:c r="E25" s="1"/>
      <x:c r="F25" s="1"/>
      <x:c r="G25" s="1"/>
      <x:c r="H25" s="1"/>
    </x:row>
    <x:row r="26" ht="25" customHeight="1">
      <x:c r="A26" s="16"/>
      <x:c r="B26" s="16"/>
      <x:c r="C26" s="16"/>
      <x:c r="D26" s="16"/>
      <x:c r="E26" s="1"/>
      <x:c r="F26" s="1"/>
      <x:c r="G26" s="1"/>
      <x:c r="H26" s="1"/>
    </x:row>
    <x:row r="27" ht="25" customHeight="1">
      <x:c r="A27" s="16"/>
      <x:c r="B27" s="16"/>
      <x:c r="C27" s="16"/>
      <x:c r="D27" s="16"/>
      <x:c r="E27" s="1"/>
      <x:c r="F27" s="1"/>
      <x:c r="G27" s="1"/>
      <x:c r="H27" s="1"/>
    </x:row>
    <x:row r="28" ht="25" customHeight="1">
      <x:c r="A28" s="16"/>
      <x:c r="B28" s="16"/>
      <x:c r="C28" s="16"/>
      <x:c r="D28" s="16"/>
      <x:c r="E28" s="1"/>
      <x:c r="F28" s="1"/>
      <x:c r="G28" s="1"/>
      <x:c r="H28" s="1"/>
    </x:row>
    <x:row r="29" ht="25" customHeight="1">
      <x:c r="A29" s="16"/>
      <x:c r="B29" s="16"/>
      <x:c r="C29" s="16"/>
      <x:c r="D29" s="16"/>
      <x:c r="E29" s="1"/>
      <x:c r="F29" s="1"/>
      <x:c r="G29" s="1"/>
      <x:c r="H29" s="1"/>
    </x:row>
    <x:row r="30" ht="25" customHeight="1">
      <x:c r="A30" s="16"/>
      <x:c r="B30" s="16"/>
      <x:c r="C30" s="16"/>
      <x:c r="D30" s="16"/>
      <x:c r="E30" s="1"/>
      <x:c r="F30" s="1"/>
      <x:c r="G30" s="1"/>
      <x:c r="H30" s="1"/>
    </x:row>
    <x:row r="31" ht="25" customHeight="1">
      <x:c r="A31" s="16"/>
      <x:c r="B31" s="16"/>
      <x:c r="C31" s="16"/>
      <x:c r="D31" s="16"/>
      <x:c r="E31" s="1"/>
      <x:c r="F31" s="1"/>
      <x:c r="G31" s="1"/>
      <x:c r="H31" s="1"/>
    </x:row>
    <x:row r="32" ht="25" customHeight="1">
      <x:c r="A32" s="16"/>
      <x:c r="B32" s="16"/>
      <x:c r="C32" s="16"/>
      <x:c r="D32" s="16"/>
      <x:c r="E32" s="1"/>
      <x:c r="F32" s="1"/>
      <x:c r="G32" s="1"/>
      <x:c r="H32" s="1"/>
    </x:row>
    <x:row r="33" ht="25" customHeight="1">
      <x:c r="A33" s="16"/>
      <x:c r="B33" s="16"/>
      <x:c r="C33" s="16"/>
      <x:c r="D33" s="16"/>
      <x:c r="E33" s="1"/>
      <x:c r="F33" s="1"/>
      <x:c r="G33" s="1"/>
      <x:c r="H33" s="1"/>
    </x:row>
    <x:row r="34" ht="25" customHeight="1">
      <x:c r="A34" s="16"/>
      <x:c r="B34" s="16"/>
      <x:c r="C34" s="16"/>
      <x:c r="D34" s="16"/>
      <x:c r="E34" s="1"/>
      <x:c r="F34" s="1"/>
      <x:c r="G34" s="1"/>
      <x:c r="H34" s="1"/>
    </x:row>
    <x:row r="35" ht="25" customHeight="1">
      <x:c r="A35" s="16"/>
      <x:c r="B35" s="16"/>
      <x:c r="C35" s="16"/>
      <x:c r="D35" s="16"/>
      <x:c r="E35" s="1"/>
      <x:c r="F35" s="1"/>
      <x:c r="G35" s="1"/>
      <x:c r="H35" s="1"/>
    </x:row>
    <x:row r="36" ht="25" customHeight="1">
      <x:c r="A36" s="16"/>
      <x:c r="B36" s="16"/>
      <x:c r="C36" s="16"/>
      <x:c r="D36" s="16"/>
      <x:c r="E36" s="1"/>
      <x:c r="F36" s="1"/>
      <x:c r="G36" s="1"/>
      <x:c r="H36" s="1"/>
    </x:row>
    <x:row r="37" ht="25" customHeight="1">
      <x:c r="A37" s="16"/>
      <x:c r="B37" s="16"/>
      <x:c r="C37" s="16"/>
      <x:c r="D37" s="16"/>
      <x:c r="E37" s="1"/>
      <x:c r="F37" s="1"/>
      <x:c r="G37" s="1"/>
      <x:c r="H37" s="1"/>
    </x:row>
    <x:row r="38" ht="25" customHeight="1">
      <x:c r="A38" s="16"/>
      <x:c r="B38" s="16"/>
      <x:c r="C38" s="16"/>
      <x:c r="D38" s="16"/>
      <x:c r="E38" s="1"/>
      <x:c r="F38" s="1"/>
      <x:c r="G38" s="1"/>
      <x:c r="H38" s="1"/>
    </x:row>
    <x:row r="39" ht="25" customHeight="1">
      <x:c r="A39" s="16"/>
      <x:c r="B39" s="16"/>
      <x:c r="C39" s="16"/>
      <x:c r="D39" s="16"/>
      <x:c r="E39" s="1"/>
      <x:c r="F39" s="1"/>
      <x:c r="G39" s="1"/>
      <x:c r="H39" s="1"/>
    </x:row>
    <x:row r="40" ht="25" customHeight="1">
      <x:c r="A40" s="16"/>
      <x:c r="B40" s="16"/>
      <x:c r="C40" s="16"/>
      <x:c r="D40" s="16"/>
      <x:c r="E40" s="1"/>
      <x:c r="F40" s="1"/>
      <x:c r="G40" s="1"/>
      <x:c r="H40" s="1"/>
    </x:row>
    <x:row r="41" ht="25" customHeight="1">
      <x:c r="A41" s="16"/>
      <x:c r="B41" s="16"/>
      <x:c r="C41" s="16"/>
      <x:c r="D41" s="16"/>
      <x:c r="E41" s="1"/>
      <x:c r="F41" s="1"/>
      <x:c r="G41" s="1"/>
      <x:c r="H41" s="1"/>
    </x:row>
    <x:row r="42" ht="25" customHeight="1">
      <x:c r="A42" s="16"/>
      <x:c r="B42" s="16"/>
      <x:c r="C42" s="16"/>
      <x:c r="D42" s="16"/>
      <x:c r="E42" s="1"/>
      <x:c r="F42" s="1"/>
      <x:c r="G42" s="1"/>
      <x:c r="H42" s="1"/>
    </x:row>
    <x:row r="43" ht="25" customHeight="1">
      <x:c r="A43" s="16"/>
      <x:c r="B43" s="16"/>
      <x:c r="C43" s="16"/>
      <x:c r="D43" s="16"/>
      <x:c r="E43" s="1"/>
      <x:c r="F43" s="1"/>
      <x:c r="G43" s="1"/>
      <x:c r="H43" s="1"/>
    </x:row>
    <x:row r="44" ht="25" customHeight="1">
      <x:c r="A44" s="16"/>
      <x:c r="B44" s="16"/>
      <x:c r="C44" s="16"/>
      <x:c r="D44" s="16"/>
      <x:c r="E44" s="1"/>
      <x:c r="F44" s="1"/>
      <x:c r="G44" s="1"/>
      <x:c r="H44" s="1"/>
    </x:row>
    <x:row r="45" ht="25" customHeight="1">
      <x:c r="A45" s="16"/>
      <x:c r="B45" s="16"/>
      <x:c r="C45" s="16"/>
      <x:c r="D45" s="16"/>
      <x:c r="E45" s="1"/>
      <x:c r="F45" s="1"/>
      <x:c r="G45" s="1"/>
      <x:c r="H45" s="1"/>
    </x:row>
    <x:row r="46" ht="25" customHeight="1">
      <x:c r="A46" s="16"/>
      <x:c r="B46" s="16"/>
      <x:c r="C46" s="16"/>
      <x:c r="D46" s="16"/>
      <x:c r="E46" s="1"/>
      <x:c r="F46" s="1"/>
      <x:c r="G46" s="1"/>
      <x:c r="H46" s="1"/>
    </x:row>
    <x:row r="47" ht="25" customHeight="1">
      <x:c r="A47" s="16"/>
      <x:c r="B47" s="16"/>
      <x:c r="C47" s="16"/>
      <x:c r="D47" s="16"/>
      <x:c r="E47" s="1"/>
      <x:c r="F47" s="1"/>
      <x:c r="G47" s="1"/>
      <x:c r="H47" s="1"/>
    </x:row>
    <x:row r="48" ht="25" customHeight="1">
      <x:c r="A48" s="16"/>
      <x:c r="B48" s="16"/>
      <x:c r="C48" s="16"/>
      <x:c r="D48" s="16"/>
      <x:c r="E48" s="1"/>
      <x:c r="F48" s="1"/>
      <x:c r="G48" s="1"/>
      <x:c r="H48" s="1"/>
    </x:row>
    <x:row r="49" ht="25" customHeight="1">
      <x:c r="A49" s="16"/>
      <x:c r="B49" s="16"/>
      <x:c r="C49" s="16"/>
      <x:c r="D49" s="16"/>
      <x:c r="E49" s="1"/>
      <x:c r="F49" s="1"/>
      <x:c r="G49" s="1"/>
      <x:c r="H49" s="1"/>
    </x:row>
    <x:row r="50" ht="25" customHeight="1">
      <x:c r="A50" s="16"/>
      <x:c r="B50" s="16"/>
      <x:c r="C50" s="16"/>
      <x:c r="D50" s="16"/>
      <x:c r="E50" s="1"/>
      <x:c r="F50" s="1"/>
      <x:c r="G50" s="1"/>
      <x:c r="H50" s="1"/>
    </x:row>
    <x:row r="51" ht="25" customHeight="1">
      <x:c r="A51" s="16"/>
      <x:c r="B51" s="16"/>
      <x:c r="C51" s="16"/>
      <x:c r="D51" s="16"/>
      <x:c r="E51" s="1"/>
      <x:c r="F51" s="1"/>
      <x:c r="G51" s="1"/>
      <x:c r="H51" s="1"/>
    </x:row>
    <x:row r="52" ht="25" customHeight="1">
      <x:c r="A52" s="16"/>
      <x:c r="B52" s="16"/>
      <x:c r="C52" s="16"/>
      <x:c r="D52" s="16"/>
      <x:c r="E52" s="1"/>
      <x:c r="F52" s="1"/>
      <x:c r="G52" s="1"/>
      <x:c r="H52" s="1"/>
    </x:row>
    <x:row r="53" ht="25" customHeight="1">
      <x:c r="A53" s="16"/>
      <x:c r="B53" s="16"/>
      <x:c r="C53" s="16"/>
      <x:c r="D53" s="16"/>
      <x:c r="E53" s="1"/>
      <x:c r="F53" s="1"/>
      <x:c r="G53" s="1"/>
      <x:c r="H53" s="1"/>
    </x:row>
    <x:row r="54" ht="25" customHeight="1">
      <x:c r="A54" s="16"/>
      <x:c r="B54" s="16"/>
      <x:c r="C54" s="16"/>
      <x:c r="D54" s="16"/>
      <x:c r="E54" s="1"/>
      <x:c r="F54" s="1"/>
      <x:c r="G54" s="1"/>
      <x:c r="H54" s="1"/>
    </x:row>
    <x:row r="55" ht="25" customHeight="1">
      <x:c r="A55" s="16"/>
      <x:c r="B55" s="16"/>
      <x:c r="C55" s="16"/>
      <x:c r="D55" s="16"/>
      <x:c r="E55" s="1"/>
      <x:c r="F55" s="1"/>
      <x:c r="G55" s="1"/>
      <x:c r="H55" s="1"/>
    </x:row>
    <x:row r="56" ht="25" customHeight="1">
      <x:c r="A56" s="16"/>
      <x:c r="B56" s="16"/>
      <x:c r="C56" s="16"/>
      <x:c r="D56" s="16"/>
      <x:c r="E56" s="1"/>
      <x:c r="F56" s="1"/>
      <x:c r="G56" s="1"/>
      <x:c r="H56" s="1"/>
    </x:row>
    <x:row r="57" ht="25" customHeight="1">
      <x:c r="A57" s="16"/>
      <x:c r="B57" s="16"/>
      <x:c r="C57" s="16"/>
      <x:c r="D57" s="16"/>
      <x:c r="E57" s="1"/>
      <x:c r="F57" s="1"/>
      <x:c r="G57" s="1"/>
      <x:c r="H57" s="1"/>
    </x:row>
    <x:row r="58" ht="25" customHeight="1">
      <x:c r="A58" s="16"/>
      <x:c r="B58" s="16"/>
      <x:c r="C58" s="16"/>
      <x:c r="D58" s="16"/>
      <x:c r="E58" s="1"/>
      <x:c r="F58" s="1"/>
      <x:c r="G58" s="1"/>
      <x:c r="H58" s="1"/>
    </x:row>
    <x:row r="59" ht="25" customHeight="1">
      <x:c r="A59" s="16"/>
      <x:c r="B59" s="16"/>
      <x:c r="C59" s="16"/>
      <x:c r="D59" s="16"/>
      <x:c r="E59" s="1"/>
      <x:c r="F59" s="1"/>
      <x:c r="G59" s="1"/>
      <x:c r="H59" s="1"/>
    </x:row>
    <x:row r="60" ht="25" customHeight="1">
      <x:c r="A60" s="16"/>
      <x:c r="B60" s="16"/>
      <x:c r="C60" s="16"/>
      <x:c r="D60" s="16"/>
      <x:c r="E60" s="1"/>
      <x:c r="F60" s="1"/>
      <x:c r="G60" s="1"/>
      <x:c r="H60" s="1"/>
    </x:row>
    <x:row r="61" ht="25" customHeight="1">
      <x:c r="A61" s="16"/>
      <x:c r="B61" s="16"/>
      <x:c r="C61" s="16"/>
      <x:c r="D61" s="16"/>
      <x:c r="E61" s="1"/>
      <x:c r="F61" s="1"/>
      <x:c r="G61" s="1"/>
      <x:c r="H61" s="1"/>
    </x:row>
    <x:row r="62" ht="25" customHeight="1">
      <x:c r="A62" s="16"/>
      <x:c r="B62" s="16"/>
      <x:c r="C62" s="16"/>
      <x:c r="D62" s="16"/>
      <x:c r="E62" s="1"/>
      <x:c r="F62" s="1"/>
      <x:c r="G62" s="1"/>
      <x:c r="H62" s="1"/>
    </x:row>
    <x:row r="63" ht="25" customHeight="1">
      <x:c r="A63" s="16"/>
      <x:c r="B63" s="16"/>
      <x:c r="C63" s="16"/>
      <x:c r="D63" s="16"/>
      <x:c r="E63" s="1"/>
      <x:c r="F63" s="1"/>
      <x:c r="G63" s="1"/>
      <x:c r="H63" s="1"/>
    </x:row>
    <x:row r="64" ht="25" customHeight="1">
      <x:c r="A64" s="16"/>
      <x:c r="B64" s="16"/>
      <x:c r="C64" s="16"/>
      <x:c r="D64" s="16"/>
      <x:c r="E64" s="1"/>
      <x:c r="F64" s="1"/>
      <x:c r="G64" s="1"/>
      <x:c r="H64" s="1"/>
    </x:row>
    <x:row r="65" ht="25" customHeight="1">
      <x:c r="A65" s="16"/>
      <x:c r="B65" s="16"/>
      <x:c r="C65" s="16"/>
      <x:c r="D65" s="16"/>
      <x:c r="E65" s="1"/>
      <x:c r="F65" s="1"/>
      <x:c r="G65" s="1"/>
      <x:c r="H65" s="1"/>
    </x:row>
  </x:sheetData>
  <x:mergeCells>
    <x:mergeCell ref="A2:D2"/>
  </x:mergeCells>
  <x:pageMargins left="0.7" right="0.7" top="0.75" bottom="0.75" header="0.3" footer="0.3"/>
</x:worksheet>
</file>